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hidePivotFieldList="1"/>
  <mc:AlternateContent xmlns:mc="http://schemas.openxmlformats.org/markup-compatibility/2006">
    <mc:Choice Requires="x15">
      <x15ac:absPath xmlns:x15ac="http://schemas.microsoft.com/office/spreadsheetml/2010/11/ac" url="D:\UNISA\RESEARCH\Scholarship Research\PAPER\"/>
    </mc:Choice>
  </mc:AlternateContent>
  <xr:revisionPtr revIDLastSave="28" documentId="13_ncr:1_{5E26FA16-AD3B-4451-8867-3F6988EE3C39}" xr6:coauthVersionLast="47" xr6:coauthVersionMax="47" xr10:uidLastSave="{F1FC5484-F67C-488F-AFA9-0D7D39A89478}"/>
  <bookViews>
    <workbookView xWindow="-108" yWindow="-108" windowWidth="23256" windowHeight="12456" tabRatio="757" activeTab="4" xr2:uid="{43225770-5248-4502-8CD7-A2985A3F01C6}"/>
  </bookViews>
  <sheets>
    <sheet name="Summary" sheetId="6" r:id="rId1"/>
    <sheet name="Tables Top10_Pathway" sheetId="8" r:id="rId2"/>
    <sheet name="Pivot_Covid_Pasc" sheetId="2" r:id="rId3"/>
    <sheet name="Pivot_Negative_Pasc" sheetId="5" r:id="rId4"/>
    <sheet name="Covid_Pasc_result" sheetId="1" r:id="rId5"/>
    <sheet name="Negative_Pasc_result" sheetId="3" r:id="rId6"/>
    <sheet name="PW" sheetId="9" r:id="rId7"/>
  </sheets>
  <definedNames>
    <definedName name="_xlnm._FilterDatabase" localSheetId="4" hidden="1">Covid_Pasc_result!$A$1:$Q$459</definedName>
    <definedName name="_xlnm._FilterDatabase" localSheetId="5" hidden="1">Negative_Pasc_result!$A$1:$I$410</definedName>
    <definedName name="_xlnm._FilterDatabase" localSheetId="2" hidden="1">Pivot_Covid_Pasc!$G$1:$L$134</definedName>
    <definedName name="_xlnm._FilterDatabase" localSheetId="3" hidden="1">Pivot_Negative_Pasc!$G$3:$K$129</definedName>
    <definedName name="_xlnm._FilterDatabase" localSheetId="6" hidden="1">PW!$A$1:$B$1</definedName>
    <definedName name="_xlnm._FilterDatabase" localSheetId="0" hidden="1">Summary!$A$2:$F$2</definedName>
  </definedNames>
  <calcPr calcId="191028"/>
  <pivotCaches>
    <pivotCache cacheId="1737" r:id="rId8"/>
    <pivotCache cacheId="173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1" l="1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6" i="6"/>
  <c r="B25" i="6"/>
  <c r="B24" i="6"/>
  <c r="B23" i="6"/>
  <c r="B22" i="6"/>
  <c r="B21" i="6"/>
  <c r="B20" i="6"/>
  <c r="B19" i="6"/>
  <c r="B18" i="6"/>
  <c r="B17" i="6"/>
  <c r="B12" i="6"/>
  <c r="B11" i="6"/>
  <c r="B10" i="6"/>
  <c r="B9" i="6"/>
  <c r="B8" i="6"/>
  <c r="B7" i="6"/>
  <c r="B6" i="6"/>
  <c r="B5" i="6"/>
  <c r="B4" i="6"/>
  <c r="B3" i="6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11" i="1"/>
  <c r="B358" i="1"/>
  <c r="B221" i="1"/>
  <c r="B157" i="1"/>
  <c r="B183" i="1"/>
  <c r="B213" i="1"/>
  <c r="B110" i="1"/>
  <c r="B117" i="1"/>
  <c r="B66" i="1"/>
  <c r="B212" i="1"/>
  <c r="B57" i="1"/>
  <c r="H27" i="2" s="1"/>
  <c r="B49" i="1"/>
  <c r="B161" i="1"/>
  <c r="H28" i="2" s="1"/>
  <c r="B17" i="1"/>
  <c r="H21" i="2" s="1"/>
  <c r="B74" i="1"/>
  <c r="B79" i="1"/>
  <c r="B115" i="1"/>
  <c r="B170" i="1"/>
  <c r="B38" i="1"/>
  <c r="H8" i="2" s="1"/>
  <c r="B39" i="1"/>
  <c r="B289" i="1"/>
  <c r="H97" i="2" s="1"/>
  <c r="B276" i="1"/>
  <c r="H94" i="2" s="1"/>
  <c r="B395" i="1"/>
  <c r="H122" i="2" s="1"/>
  <c r="B156" i="1"/>
  <c r="B394" i="1"/>
  <c r="B393" i="1"/>
  <c r="H121" i="2" s="1"/>
  <c r="B26" i="1"/>
  <c r="H7" i="2" s="1"/>
  <c r="B392" i="1"/>
  <c r="H120" i="2" s="1"/>
  <c r="B109" i="1"/>
  <c r="H32" i="2" s="1"/>
  <c r="B391" i="1"/>
  <c r="H119" i="2" s="1"/>
  <c r="B360" i="1"/>
  <c r="B420" i="1"/>
  <c r="B165" i="1"/>
  <c r="H89" i="2" s="1"/>
  <c r="B390" i="1"/>
  <c r="B155" i="1"/>
  <c r="H53" i="2" s="1"/>
  <c r="B397" i="1"/>
  <c r="B346" i="1"/>
  <c r="H116" i="2" s="1"/>
  <c r="B246" i="1"/>
  <c r="B154" i="1"/>
  <c r="B241" i="1"/>
  <c r="B274" i="1"/>
  <c r="B359" i="1"/>
  <c r="B56" i="1"/>
  <c r="B164" i="1"/>
  <c r="B25" i="1"/>
  <c r="B108" i="1"/>
  <c r="B389" i="1"/>
  <c r="B76" i="1"/>
  <c r="H22" i="2" s="1"/>
  <c r="B107" i="1"/>
  <c r="H44" i="2" s="1"/>
  <c r="B211" i="1"/>
  <c r="B388" i="1"/>
  <c r="B120" i="1"/>
  <c r="B65" i="1"/>
  <c r="H40" i="2" s="1"/>
  <c r="B42" i="1"/>
  <c r="H43" i="2" s="1"/>
  <c r="B431" i="1"/>
  <c r="B288" i="1"/>
  <c r="H96" i="2" s="1"/>
  <c r="B227" i="1"/>
  <c r="B210" i="1"/>
  <c r="H78" i="2" s="1"/>
  <c r="B5" i="1"/>
  <c r="B37" i="1"/>
  <c r="B217" i="1"/>
  <c r="B106" i="1"/>
  <c r="H45" i="2" s="1"/>
  <c r="B18" i="1"/>
  <c r="B75" i="1"/>
  <c r="B116" i="1"/>
  <c r="B309" i="1"/>
  <c r="B101" i="1"/>
  <c r="B105" i="1"/>
  <c r="B444" i="1"/>
  <c r="B282" i="1"/>
  <c r="H117" i="2" s="1"/>
  <c r="B55" i="1"/>
  <c r="H15" i="2" s="1"/>
  <c r="B428" i="1"/>
  <c r="H129" i="2" s="1"/>
  <c r="B14" i="1"/>
  <c r="B92" i="1"/>
  <c r="B54" i="1"/>
  <c r="H10" i="2" s="1"/>
  <c r="B387" i="1"/>
  <c r="B53" i="1"/>
  <c r="H42" i="2" s="1"/>
  <c r="B52" i="1"/>
  <c r="H14" i="2" s="1"/>
  <c r="B64" i="1"/>
  <c r="H17" i="2" s="1"/>
  <c r="B357" i="1"/>
  <c r="H113" i="2" s="1"/>
  <c r="B446" i="1"/>
  <c r="H131" i="2" s="1"/>
  <c r="B63" i="1"/>
  <c r="H16" i="2" s="1"/>
  <c r="B44" i="1"/>
  <c r="H11" i="2" s="1"/>
  <c r="B179" i="1"/>
  <c r="B9" i="1"/>
  <c r="H5" i="2" s="1"/>
  <c r="B182" i="1"/>
  <c r="B40" i="1"/>
  <c r="B209" i="1"/>
  <c r="H35" i="2" s="1"/>
  <c r="B242" i="1"/>
  <c r="H84" i="2" s="1"/>
  <c r="B202" i="1"/>
  <c r="H69" i="2" s="1"/>
  <c r="B178" i="1"/>
  <c r="H57" i="2" s="1"/>
  <c r="B121" i="1"/>
  <c r="H41" i="2" s="1"/>
  <c r="B152" i="1"/>
  <c r="B214" i="1"/>
  <c r="H74" i="2" s="1"/>
  <c r="B24" i="1"/>
  <c r="B187" i="1"/>
  <c r="H20" i="2" s="1"/>
  <c r="B135" i="1"/>
  <c r="H37" i="2" s="1"/>
  <c r="B84" i="1"/>
  <c r="H24" i="2" s="1"/>
  <c r="B70" i="1"/>
  <c r="H18" i="2" s="1"/>
  <c r="B13" i="1"/>
  <c r="H19" i="2" s="1"/>
  <c r="B312" i="1"/>
  <c r="B216" i="1"/>
  <c r="B91" i="1"/>
  <c r="B16" i="1"/>
  <c r="B271" i="1"/>
  <c r="B22" i="1"/>
  <c r="B73" i="1"/>
  <c r="B28" i="1"/>
  <c r="B339" i="1"/>
  <c r="B78" i="1"/>
  <c r="B2" i="1"/>
  <c r="H6" i="2" s="1"/>
  <c r="B6" i="1"/>
  <c r="B10" i="1"/>
  <c r="B226" i="1"/>
  <c r="B160" i="1"/>
  <c r="B86" i="1"/>
  <c r="B72" i="1"/>
  <c r="B114" i="1"/>
  <c r="B136" i="1"/>
  <c r="B41" i="1"/>
  <c r="B67" i="1"/>
  <c r="B158" i="1"/>
  <c r="B15" i="1"/>
  <c r="H33" i="2" s="1"/>
  <c r="B169" i="1"/>
  <c r="B311" i="1"/>
  <c r="B125" i="1"/>
  <c r="B198" i="1"/>
  <c r="B103" i="1"/>
  <c r="B266" i="1"/>
  <c r="B71" i="1"/>
  <c r="B51" i="1"/>
  <c r="H26" i="2" s="1"/>
  <c r="B87" i="1"/>
  <c r="B62" i="1"/>
  <c r="B406" i="1"/>
  <c r="H126" i="2" s="1"/>
  <c r="B90" i="1"/>
  <c r="H29" i="2" s="1"/>
  <c r="B50" i="1"/>
  <c r="H13" i="2" s="1"/>
  <c r="B458" i="1"/>
  <c r="B68" i="1"/>
  <c r="B308" i="1"/>
  <c r="H83" i="2" s="1"/>
  <c r="B163" i="1"/>
  <c r="B4" i="1"/>
  <c r="H3" i="2" s="1"/>
  <c r="B426" i="1"/>
  <c r="B385" i="1"/>
  <c r="B175" i="1"/>
  <c r="B374" i="1"/>
  <c r="B7" i="1"/>
  <c r="H4" i="2" s="1"/>
  <c r="B174" i="1"/>
  <c r="B269" i="1"/>
  <c r="B268" i="1"/>
  <c r="H93" i="2" s="1"/>
  <c r="B386" i="1"/>
  <c r="H118" i="2" s="1"/>
  <c r="B345" i="1"/>
  <c r="B100" i="1"/>
  <c r="H58" i="2" s="1"/>
  <c r="B206" i="1"/>
  <c r="B104" i="1"/>
  <c r="B363" i="1"/>
  <c r="B83" i="1"/>
  <c r="H49" i="2" s="1"/>
  <c r="B119" i="1"/>
  <c r="B219" i="1"/>
  <c r="H47" i="2" s="1"/>
  <c r="B48" i="1"/>
  <c r="B31" i="1"/>
  <c r="H9" i="2" s="1"/>
  <c r="B258" i="1"/>
  <c r="B99" i="1"/>
  <c r="H51" i="2" s="1"/>
  <c r="B218" i="1"/>
  <c r="B197" i="1"/>
  <c r="B195" i="1"/>
  <c r="B80" i="1"/>
  <c r="B445" i="1"/>
  <c r="B436" i="1"/>
  <c r="B215" i="1"/>
  <c r="B403" i="1"/>
  <c r="B77" i="1"/>
  <c r="H92" i="2" s="1"/>
  <c r="B348" i="1"/>
  <c r="B292" i="1"/>
  <c r="B447" i="1"/>
  <c r="B421" i="1"/>
  <c r="B338" i="1"/>
  <c r="H112" i="2" s="1"/>
  <c r="B137" i="1"/>
  <c r="H38" i="2" s="1"/>
  <c r="B124" i="1"/>
  <c r="H34" i="2" s="1"/>
  <c r="B350" i="1"/>
  <c r="B94" i="1"/>
  <c r="B207" i="1"/>
  <c r="B192" i="1"/>
  <c r="B306" i="1"/>
  <c r="B204" i="1"/>
  <c r="B437" i="1"/>
  <c r="B134" i="1"/>
  <c r="B354" i="1"/>
  <c r="B113" i="1"/>
  <c r="B333" i="1"/>
  <c r="H59" i="2" s="1"/>
  <c r="B318" i="1"/>
  <c r="B251" i="1"/>
  <c r="H95" i="2" s="1"/>
  <c r="B85" i="1"/>
  <c r="B279" i="1"/>
  <c r="B342" i="1"/>
  <c r="B140" i="1"/>
  <c r="B45" i="1"/>
  <c r="B310" i="1"/>
  <c r="B89" i="1"/>
  <c r="B368" i="1"/>
  <c r="B270" i="1"/>
  <c r="H54" i="2" s="1"/>
  <c r="B97" i="1"/>
  <c r="H30" i="2" s="1"/>
  <c r="B47" i="1"/>
  <c r="H12" i="2" s="1"/>
  <c r="B181" i="1"/>
  <c r="B298" i="1"/>
  <c r="B190" i="1"/>
  <c r="H73" i="2" s="1"/>
  <c r="B459" i="1"/>
  <c r="H133" i="2" s="1"/>
  <c r="B29" i="1"/>
  <c r="B438" i="1"/>
  <c r="B8" i="1"/>
  <c r="B128" i="1"/>
  <c r="B452" i="1"/>
  <c r="B3" i="1"/>
  <c r="B448" i="1"/>
  <c r="B290" i="1"/>
  <c r="B443" i="1"/>
  <c r="B293" i="1"/>
  <c r="B81" i="1"/>
  <c r="B413" i="1"/>
  <c r="B138" i="1"/>
  <c r="H65" i="2" s="1"/>
  <c r="B286" i="1"/>
  <c r="B355" i="1"/>
  <c r="B151" i="1"/>
  <c r="H79" i="2" s="1"/>
  <c r="B196" i="1"/>
  <c r="B272" i="1"/>
  <c r="B248" i="1"/>
  <c r="H102" i="2" s="1"/>
  <c r="B398" i="1"/>
  <c r="B408" i="1"/>
  <c r="B364" i="1"/>
  <c r="B301" i="1"/>
  <c r="B332" i="1"/>
  <c r="B259" i="1"/>
  <c r="B143" i="1"/>
  <c r="B191" i="1"/>
  <c r="B245" i="1"/>
  <c r="B433" i="1"/>
  <c r="B199" i="1"/>
  <c r="H67" i="2" s="1"/>
  <c r="B189" i="1"/>
  <c r="B336" i="1"/>
  <c r="B231" i="1"/>
  <c r="B280" i="1"/>
  <c r="B153" i="1"/>
  <c r="B35" i="1"/>
  <c r="B82" i="1"/>
  <c r="H46" i="2" s="1"/>
  <c r="B237" i="1"/>
  <c r="B423" i="1"/>
  <c r="B366" i="1"/>
  <c r="H115" i="2" s="1"/>
  <c r="B205" i="1"/>
  <c r="B19" i="1"/>
  <c r="B166" i="1"/>
  <c r="B381" i="1"/>
  <c r="B372" i="1"/>
  <c r="B383" i="1"/>
  <c r="B171" i="1"/>
  <c r="B58" i="1"/>
  <c r="B229" i="1"/>
  <c r="B344" i="1"/>
  <c r="B351" i="1"/>
  <c r="B264" i="1"/>
  <c r="B417" i="1"/>
  <c r="B118" i="1"/>
  <c r="B316" i="1"/>
  <c r="B427" i="1"/>
  <c r="B384" i="1"/>
  <c r="B409" i="1"/>
  <c r="B95" i="1"/>
  <c r="B455" i="1"/>
  <c r="H132" i="2" s="1"/>
  <c r="B102" i="1"/>
  <c r="B69" i="1"/>
  <c r="B432" i="1"/>
  <c r="B419" i="1"/>
  <c r="B449" i="1"/>
  <c r="B450" i="1"/>
  <c r="B454" i="1"/>
  <c r="B111" i="1"/>
  <c r="B30" i="1"/>
  <c r="H70" i="2" s="1"/>
  <c r="B328" i="1"/>
  <c r="B184" i="1"/>
  <c r="H86" i="2" s="1"/>
  <c r="B12" i="1"/>
  <c r="B314" i="1"/>
  <c r="B287" i="1"/>
  <c r="B456" i="1"/>
  <c r="B249" i="1"/>
  <c r="B96" i="1"/>
  <c r="B232" i="1"/>
  <c r="B277" i="1"/>
  <c r="B180" i="1"/>
  <c r="B112" i="1"/>
  <c r="B32" i="1"/>
  <c r="B36" i="1"/>
  <c r="B294" i="1"/>
  <c r="B407" i="1"/>
  <c r="B422" i="1"/>
  <c r="B441" i="1"/>
  <c r="B141" i="1"/>
  <c r="B341" i="1"/>
  <c r="B278" i="1"/>
  <c r="B254" i="1"/>
  <c r="B435" i="1"/>
  <c r="B418" i="1"/>
  <c r="B347" i="1"/>
  <c r="B457" i="1"/>
  <c r="B27" i="1"/>
  <c r="B371" i="1"/>
  <c r="B127" i="1"/>
  <c r="H55" i="2" s="1"/>
  <c r="B291" i="1"/>
  <c r="B148" i="1"/>
  <c r="H71" i="2" s="1"/>
  <c r="B147" i="1"/>
  <c r="H50" i="2" s="1"/>
  <c r="B377" i="1"/>
  <c r="H123" i="2" s="1"/>
  <c r="B411" i="1"/>
  <c r="B335" i="1"/>
  <c r="B262" i="1"/>
  <c r="B396" i="1"/>
  <c r="B361" i="1"/>
  <c r="B238" i="1"/>
  <c r="B253" i="1"/>
  <c r="B142" i="1"/>
  <c r="H63" i="2" s="1"/>
  <c r="B244" i="1"/>
  <c r="B185" i="1"/>
  <c r="B256" i="1"/>
  <c r="B243" i="1"/>
  <c r="B150" i="1"/>
  <c r="B370" i="1"/>
  <c r="H87" i="2" s="1"/>
  <c r="B317" i="1"/>
  <c r="B337" i="1"/>
  <c r="B326" i="1"/>
  <c r="B283" i="1"/>
  <c r="B149" i="1"/>
  <c r="B43" i="1"/>
  <c r="B167" i="1"/>
  <c r="B60" i="1"/>
  <c r="B20" i="1"/>
  <c r="B267" i="1"/>
  <c r="B145" i="1"/>
  <c r="H36" i="2" s="1"/>
  <c r="B430" i="1"/>
  <c r="H130" i="2" s="1"/>
  <c r="B424" i="1"/>
  <c r="B139" i="1"/>
  <c r="B146" i="1"/>
  <c r="B405" i="1"/>
  <c r="B367" i="1"/>
  <c r="B313" i="1"/>
  <c r="H114" i="2" s="1"/>
  <c r="B315" i="1"/>
  <c r="H104" i="2" s="1"/>
  <c r="B300" i="1"/>
  <c r="B223" i="1"/>
  <c r="B123" i="1"/>
  <c r="B376" i="1"/>
  <c r="B285" i="1"/>
  <c r="B327" i="1"/>
  <c r="B201" i="1"/>
  <c r="B98" i="1"/>
  <c r="H75" i="2" s="1"/>
  <c r="B263" i="1"/>
  <c r="B320" i="1"/>
  <c r="H98" i="2" s="1"/>
  <c r="B415" i="1"/>
  <c r="H128" i="2" s="1"/>
  <c r="B414" i="1"/>
  <c r="H127" i="2" s="1"/>
  <c r="B416" i="1"/>
  <c r="B224" i="1"/>
  <c r="B453" i="1"/>
  <c r="B200" i="1"/>
  <c r="H107" i="2" s="1"/>
  <c r="B261" i="1"/>
  <c r="B265" i="1"/>
  <c r="B295" i="1"/>
  <c r="B173" i="1"/>
  <c r="B144" i="1"/>
  <c r="H72" i="2" s="1"/>
  <c r="B247" i="1"/>
  <c r="B59" i="1"/>
  <c r="B131" i="1"/>
  <c r="B284" i="1"/>
  <c r="B233" i="1"/>
  <c r="B222" i="1"/>
  <c r="B159" i="1"/>
  <c r="B323" i="1"/>
  <c r="B380" i="1"/>
  <c r="B21" i="1"/>
  <c r="B302" i="1"/>
  <c r="B369" i="1"/>
  <c r="B220" i="1"/>
  <c r="B404" i="1"/>
  <c r="H61" i="2" s="1"/>
  <c r="B260" i="1"/>
  <c r="H91" i="2" s="1"/>
  <c r="B252" i="1"/>
  <c r="B228" i="1"/>
  <c r="B61" i="1"/>
  <c r="B324" i="1"/>
  <c r="B353" i="1"/>
  <c r="H68" i="2" s="1"/>
  <c r="B331" i="1"/>
  <c r="B305" i="1"/>
  <c r="B23" i="1"/>
  <c r="B234" i="1"/>
  <c r="B379" i="1"/>
  <c r="B129" i="1"/>
  <c r="B93" i="1"/>
  <c r="B378" i="1"/>
  <c r="B130" i="1"/>
  <c r="B410" i="1"/>
  <c r="B162" i="1"/>
  <c r="B186" i="1"/>
  <c r="B319" i="1"/>
  <c r="B203" i="1"/>
  <c r="B230" i="1"/>
  <c r="B329" i="1"/>
  <c r="B46" i="1"/>
  <c r="B33" i="1"/>
  <c r="B425" i="1"/>
  <c r="B400" i="1"/>
  <c r="B442" i="1"/>
  <c r="B451" i="1"/>
  <c r="B88" i="1"/>
  <c r="B362" i="1"/>
  <c r="B439" i="1"/>
  <c r="B352" i="1"/>
  <c r="B382" i="1"/>
  <c r="B303" i="1"/>
  <c r="B412" i="1"/>
  <c r="B321" i="1"/>
  <c r="B349" i="1"/>
  <c r="B122" i="1"/>
  <c r="B235" i="1"/>
  <c r="B296" i="1"/>
  <c r="H90" i="2" s="1"/>
  <c r="B325" i="1"/>
  <c r="H106" i="2" s="1"/>
  <c r="B299" i="1"/>
  <c r="B340" i="1"/>
  <c r="B373" i="1"/>
  <c r="B240" i="1"/>
  <c r="B330" i="1"/>
  <c r="B297" i="1"/>
  <c r="B322" i="1"/>
  <c r="B132" i="1"/>
  <c r="B402" i="1"/>
  <c r="B193" i="1"/>
  <c r="B273" i="1"/>
  <c r="B356" i="1"/>
  <c r="B375" i="1"/>
  <c r="B434" i="1"/>
  <c r="H100" i="2" s="1"/>
  <c r="B440" i="1"/>
  <c r="B343" i="1"/>
  <c r="H125" i="2" s="1"/>
  <c r="B401" i="1"/>
  <c r="B126" i="1"/>
  <c r="B208" i="1"/>
  <c r="B225" i="1"/>
  <c r="B307" i="1"/>
  <c r="B239" i="1"/>
  <c r="B172" i="1"/>
  <c r="B194" i="1"/>
  <c r="B133" i="1"/>
  <c r="B334" i="1"/>
  <c r="B275" i="1"/>
  <c r="B255" i="1"/>
  <c r="B177" i="1"/>
  <c r="B250" i="1"/>
  <c r="B257" i="1"/>
  <c r="B236" i="1"/>
  <c r="B168" i="1"/>
  <c r="B188" i="1"/>
  <c r="H62" i="2" s="1"/>
  <c r="B429" i="1"/>
  <c r="B34" i="1"/>
  <c r="B281" i="1"/>
  <c r="B399" i="1"/>
  <c r="B304" i="1"/>
  <c r="B365" i="1"/>
  <c r="B176" i="1"/>
  <c r="C11" i="1"/>
  <c r="C358" i="1"/>
  <c r="C221" i="1"/>
  <c r="C157" i="1"/>
  <c r="C183" i="1"/>
  <c r="C213" i="1"/>
  <c r="C110" i="1"/>
  <c r="C117" i="1"/>
  <c r="C66" i="1"/>
  <c r="C212" i="1"/>
  <c r="C57" i="1"/>
  <c r="C49" i="1"/>
  <c r="C161" i="1"/>
  <c r="C17" i="1"/>
  <c r="C74" i="1"/>
  <c r="C79" i="1"/>
  <c r="C115" i="1"/>
  <c r="C170" i="1"/>
  <c r="C38" i="1"/>
  <c r="C39" i="1"/>
  <c r="C289" i="1"/>
  <c r="C276" i="1"/>
  <c r="C395" i="1"/>
  <c r="C156" i="1"/>
  <c r="C394" i="1"/>
  <c r="C393" i="1"/>
  <c r="C26" i="1"/>
  <c r="C392" i="1"/>
  <c r="C109" i="1"/>
  <c r="C391" i="1"/>
  <c r="C360" i="1"/>
  <c r="C420" i="1"/>
  <c r="C165" i="1"/>
  <c r="C390" i="1"/>
  <c r="C155" i="1"/>
  <c r="C397" i="1"/>
  <c r="C346" i="1"/>
  <c r="C246" i="1"/>
  <c r="C154" i="1"/>
  <c r="C241" i="1"/>
  <c r="C274" i="1"/>
  <c r="C359" i="1"/>
  <c r="C56" i="1"/>
  <c r="C164" i="1"/>
  <c r="C25" i="1"/>
  <c r="C108" i="1"/>
  <c r="C389" i="1"/>
  <c r="C76" i="1"/>
  <c r="C107" i="1"/>
  <c r="C211" i="1"/>
  <c r="C388" i="1"/>
  <c r="C120" i="1"/>
  <c r="C65" i="1"/>
  <c r="C42" i="1"/>
  <c r="C431" i="1"/>
  <c r="C288" i="1"/>
  <c r="C227" i="1"/>
  <c r="C210" i="1"/>
  <c r="C5" i="1"/>
  <c r="C37" i="1"/>
  <c r="C217" i="1"/>
  <c r="C106" i="1"/>
  <c r="C18" i="1"/>
  <c r="C75" i="1"/>
  <c r="C116" i="1"/>
  <c r="C309" i="1"/>
  <c r="C101" i="1"/>
  <c r="C105" i="1"/>
  <c r="C444" i="1"/>
  <c r="C282" i="1"/>
  <c r="C55" i="1"/>
  <c r="C428" i="1"/>
  <c r="C14" i="1"/>
  <c r="C92" i="1"/>
  <c r="C54" i="1"/>
  <c r="C387" i="1"/>
  <c r="C53" i="1"/>
  <c r="C52" i="1"/>
  <c r="C64" i="1"/>
  <c r="C357" i="1"/>
  <c r="C446" i="1"/>
  <c r="C63" i="1"/>
  <c r="C44" i="1"/>
  <c r="C179" i="1"/>
  <c r="C9" i="1"/>
  <c r="C182" i="1"/>
  <c r="C40" i="1"/>
  <c r="C209" i="1"/>
  <c r="C242" i="1"/>
  <c r="C202" i="1"/>
  <c r="C178" i="1"/>
  <c r="C121" i="1"/>
  <c r="C152" i="1"/>
  <c r="C214" i="1"/>
  <c r="C24" i="1"/>
  <c r="C187" i="1"/>
  <c r="C135" i="1"/>
  <c r="C84" i="1"/>
  <c r="C70" i="1"/>
  <c r="C13" i="1"/>
  <c r="C312" i="1"/>
  <c r="C216" i="1"/>
  <c r="C91" i="1"/>
  <c r="C16" i="1"/>
  <c r="C271" i="1"/>
  <c r="C22" i="1"/>
  <c r="C73" i="1"/>
  <c r="C28" i="1"/>
  <c r="C339" i="1"/>
  <c r="C78" i="1"/>
  <c r="C2" i="1"/>
  <c r="C6" i="1"/>
  <c r="C10" i="1"/>
  <c r="C226" i="1"/>
  <c r="C160" i="1"/>
  <c r="C86" i="1"/>
  <c r="C72" i="1"/>
  <c r="C114" i="1"/>
  <c r="C136" i="1"/>
  <c r="C41" i="1"/>
  <c r="C67" i="1"/>
  <c r="C158" i="1"/>
  <c r="C15" i="1"/>
  <c r="C169" i="1"/>
  <c r="C311" i="1"/>
  <c r="C125" i="1"/>
  <c r="C198" i="1"/>
  <c r="C103" i="1"/>
  <c r="C266" i="1"/>
  <c r="C71" i="1"/>
  <c r="C51" i="1"/>
  <c r="C87" i="1"/>
  <c r="C62" i="1"/>
  <c r="C406" i="1"/>
  <c r="C90" i="1"/>
  <c r="C50" i="1"/>
  <c r="C458" i="1"/>
  <c r="C68" i="1"/>
  <c r="C308" i="1"/>
  <c r="C163" i="1"/>
  <c r="C4" i="1"/>
  <c r="C426" i="1"/>
  <c r="C385" i="1"/>
  <c r="C175" i="1"/>
  <c r="C374" i="1"/>
  <c r="C7" i="1"/>
  <c r="C269" i="1"/>
  <c r="C268" i="1"/>
  <c r="C386" i="1"/>
  <c r="C345" i="1"/>
  <c r="C100" i="1"/>
  <c r="C206" i="1"/>
  <c r="C104" i="1"/>
  <c r="C363" i="1"/>
  <c r="C83" i="1"/>
  <c r="C119" i="1"/>
  <c r="C219" i="1"/>
  <c r="C48" i="1"/>
  <c r="C31" i="1"/>
  <c r="C258" i="1"/>
  <c r="C99" i="1"/>
  <c r="C218" i="1"/>
  <c r="C197" i="1"/>
  <c r="C195" i="1"/>
  <c r="C80" i="1"/>
  <c r="C445" i="1"/>
  <c r="C436" i="1"/>
  <c r="C215" i="1"/>
  <c r="C403" i="1"/>
  <c r="C77" i="1"/>
  <c r="C348" i="1"/>
  <c r="C292" i="1"/>
  <c r="C447" i="1"/>
  <c r="C421" i="1"/>
  <c r="C338" i="1"/>
  <c r="C137" i="1"/>
  <c r="C124" i="1"/>
  <c r="C350" i="1"/>
  <c r="C94" i="1"/>
  <c r="C207" i="1"/>
  <c r="C192" i="1"/>
  <c r="C306" i="1"/>
  <c r="C204" i="1"/>
  <c r="C437" i="1"/>
  <c r="C134" i="1"/>
  <c r="C354" i="1"/>
  <c r="C113" i="1"/>
  <c r="C333" i="1"/>
  <c r="C318" i="1"/>
  <c r="C251" i="1"/>
  <c r="C85" i="1"/>
  <c r="C279" i="1"/>
  <c r="C342" i="1"/>
  <c r="C140" i="1"/>
  <c r="C45" i="1"/>
  <c r="C310" i="1"/>
  <c r="C89" i="1"/>
  <c r="C368" i="1"/>
  <c r="C270" i="1"/>
  <c r="C97" i="1"/>
  <c r="C47" i="1"/>
  <c r="C181" i="1"/>
  <c r="C298" i="1"/>
  <c r="C190" i="1"/>
  <c r="C459" i="1"/>
  <c r="C29" i="1"/>
  <c r="C438" i="1"/>
  <c r="C8" i="1"/>
  <c r="C128" i="1"/>
  <c r="C452" i="1"/>
  <c r="C3" i="1"/>
  <c r="C448" i="1"/>
  <c r="C290" i="1"/>
  <c r="C443" i="1"/>
  <c r="C293" i="1"/>
  <c r="C81" i="1"/>
  <c r="C413" i="1"/>
  <c r="C138" i="1"/>
  <c r="C286" i="1"/>
  <c r="C355" i="1"/>
  <c r="C151" i="1"/>
  <c r="C196" i="1"/>
  <c r="C272" i="1"/>
  <c r="C248" i="1"/>
  <c r="C398" i="1"/>
  <c r="C408" i="1"/>
  <c r="C364" i="1"/>
  <c r="C301" i="1"/>
  <c r="C332" i="1"/>
  <c r="C259" i="1"/>
  <c r="C143" i="1"/>
  <c r="C191" i="1"/>
  <c r="C245" i="1"/>
  <c r="C433" i="1"/>
  <c r="C199" i="1"/>
  <c r="C189" i="1"/>
  <c r="C336" i="1"/>
  <c r="C231" i="1"/>
  <c r="C280" i="1"/>
  <c r="C153" i="1"/>
  <c r="C35" i="1"/>
  <c r="C82" i="1"/>
  <c r="C237" i="1"/>
  <c r="C423" i="1"/>
  <c r="C366" i="1"/>
  <c r="C205" i="1"/>
  <c r="C19" i="1"/>
  <c r="C166" i="1"/>
  <c r="C381" i="1"/>
  <c r="C372" i="1"/>
  <c r="C383" i="1"/>
  <c r="C171" i="1"/>
  <c r="C58" i="1"/>
  <c r="C229" i="1"/>
  <c r="C344" i="1"/>
  <c r="C351" i="1"/>
  <c r="C264" i="1"/>
  <c r="C417" i="1"/>
  <c r="C118" i="1"/>
  <c r="C316" i="1"/>
  <c r="C427" i="1"/>
  <c r="C384" i="1"/>
  <c r="C409" i="1"/>
  <c r="C95" i="1"/>
  <c r="C455" i="1"/>
  <c r="C102" i="1"/>
  <c r="C69" i="1"/>
  <c r="C432" i="1"/>
  <c r="C419" i="1"/>
  <c r="C449" i="1"/>
  <c r="C450" i="1"/>
  <c r="C454" i="1"/>
  <c r="C111" i="1"/>
  <c r="C30" i="1"/>
  <c r="C328" i="1"/>
  <c r="C184" i="1"/>
  <c r="C12" i="1"/>
  <c r="C314" i="1"/>
  <c r="C287" i="1"/>
  <c r="C456" i="1"/>
  <c r="C249" i="1"/>
  <c r="C96" i="1"/>
  <c r="C232" i="1"/>
  <c r="C277" i="1"/>
  <c r="C180" i="1"/>
  <c r="C112" i="1"/>
  <c r="C32" i="1"/>
  <c r="C36" i="1"/>
  <c r="C294" i="1"/>
  <c r="C407" i="1"/>
  <c r="C422" i="1"/>
  <c r="C441" i="1"/>
  <c r="C141" i="1"/>
  <c r="C341" i="1"/>
  <c r="C278" i="1"/>
  <c r="C254" i="1"/>
  <c r="C435" i="1"/>
  <c r="C418" i="1"/>
  <c r="C347" i="1"/>
  <c r="C457" i="1"/>
  <c r="C27" i="1"/>
  <c r="C371" i="1"/>
  <c r="C127" i="1"/>
  <c r="C291" i="1"/>
  <c r="C148" i="1"/>
  <c r="C147" i="1"/>
  <c r="C377" i="1"/>
  <c r="C411" i="1"/>
  <c r="C335" i="1"/>
  <c r="C262" i="1"/>
  <c r="C396" i="1"/>
  <c r="C361" i="1"/>
  <c r="C238" i="1"/>
  <c r="C253" i="1"/>
  <c r="C142" i="1"/>
  <c r="C244" i="1"/>
  <c r="C185" i="1"/>
  <c r="C256" i="1"/>
  <c r="C243" i="1"/>
  <c r="C150" i="1"/>
  <c r="C370" i="1"/>
  <c r="C317" i="1"/>
  <c r="C337" i="1"/>
  <c r="C326" i="1"/>
  <c r="C283" i="1"/>
  <c r="C149" i="1"/>
  <c r="C43" i="1"/>
  <c r="C167" i="1"/>
  <c r="C60" i="1"/>
  <c r="C20" i="1"/>
  <c r="C267" i="1"/>
  <c r="C145" i="1"/>
  <c r="C430" i="1"/>
  <c r="C424" i="1"/>
  <c r="C139" i="1"/>
  <c r="C146" i="1"/>
  <c r="C405" i="1"/>
  <c r="C367" i="1"/>
  <c r="C313" i="1"/>
  <c r="C315" i="1"/>
  <c r="C300" i="1"/>
  <c r="C223" i="1"/>
  <c r="C123" i="1"/>
  <c r="C376" i="1"/>
  <c r="C285" i="1"/>
  <c r="C327" i="1"/>
  <c r="C201" i="1"/>
  <c r="C98" i="1"/>
  <c r="C263" i="1"/>
  <c r="C320" i="1"/>
  <c r="C415" i="1"/>
  <c r="C414" i="1"/>
  <c r="C416" i="1"/>
  <c r="C224" i="1"/>
  <c r="C453" i="1"/>
  <c r="C200" i="1"/>
  <c r="C261" i="1"/>
  <c r="C265" i="1"/>
  <c r="C295" i="1"/>
  <c r="C173" i="1"/>
  <c r="C144" i="1"/>
  <c r="C247" i="1"/>
  <c r="C59" i="1"/>
  <c r="C131" i="1"/>
  <c r="C284" i="1"/>
  <c r="C233" i="1"/>
  <c r="C222" i="1"/>
  <c r="C159" i="1"/>
  <c r="C323" i="1"/>
  <c r="C380" i="1"/>
  <c r="C21" i="1"/>
  <c r="C302" i="1"/>
  <c r="C369" i="1"/>
  <c r="C220" i="1"/>
  <c r="C404" i="1"/>
  <c r="C260" i="1"/>
  <c r="C252" i="1"/>
  <c r="C228" i="1"/>
  <c r="C61" i="1"/>
  <c r="C324" i="1"/>
  <c r="C353" i="1"/>
  <c r="C331" i="1"/>
  <c r="C305" i="1"/>
  <c r="C23" i="1"/>
  <c r="C234" i="1"/>
  <c r="C379" i="1"/>
  <c r="C129" i="1"/>
  <c r="C93" i="1"/>
  <c r="C378" i="1"/>
  <c r="C130" i="1"/>
  <c r="C410" i="1"/>
  <c r="C162" i="1"/>
  <c r="C186" i="1"/>
  <c r="C319" i="1"/>
  <c r="C203" i="1"/>
  <c r="C230" i="1"/>
  <c r="C329" i="1"/>
  <c r="C46" i="1"/>
  <c r="C33" i="1"/>
  <c r="C425" i="1"/>
  <c r="C400" i="1"/>
  <c r="C442" i="1"/>
  <c r="C451" i="1"/>
  <c r="C88" i="1"/>
  <c r="C362" i="1"/>
  <c r="C439" i="1"/>
  <c r="C352" i="1"/>
  <c r="C382" i="1"/>
  <c r="C303" i="1"/>
  <c r="C412" i="1"/>
  <c r="C321" i="1"/>
  <c r="C349" i="1"/>
  <c r="C122" i="1"/>
  <c r="C235" i="1"/>
  <c r="C296" i="1"/>
  <c r="C325" i="1"/>
  <c r="C299" i="1"/>
  <c r="C340" i="1"/>
  <c r="C373" i="1"/>
  <c r="C240" i="1"/>
  <c r="C330" i="1"/>
  <c r="C297" i="1"/>
  <c r="C322" i="1"/>
  <c r="C132" i="1"/>
  <c r="C402" i="1"/>
  <c r="C193" i="1"/>
  <c r="C273" i="1"/>
  <c r="C356" i="1"/>
  <c r="C375" i="1"/>
  <c r="C434" i="1"/>
  <c r="C440" i="1"/>
  <c r="C343" i="1"/>
  <c r="C401" i="1"/>
  <c r="C126" i="1"/>
  <c r="C208" i="1"/>
  <c r="C225" i="1"/>
  <c r="C307" i="1"/>
  <c r="C239" i="1"/>
  <c r="C172" i="1"/>
  <c r="C194" i="1"/>
  <c r="C133" i="1"/>
  <c r="C334" i="1"/>
  <c r="C275" i="1"/>
  <c r="C255" i="1"/>
  <c r="C177" i="1"/>
  <c r="C250" i="1"/>
  <c r="C257" i="1"/>
  <c r="C236" i="1"/>
  <c r="C168" i="1"/>
  <c r="C188" i="1"/>
  <c r="C429" i="1"/>
  <c r="C34" i="1"/>
  <c r="C281" i="1"/>
  <c r="C399" i="1"/>
  <c r="C304" i="1"/>
  <c r="C365" i="1"/>
  <c r="C176" i="1"/>
  <c r="H103" i="2" l="1"/>
  <c r="H66" i="2"/>
  <c r="H76" i="2"/>
  <c r="H77" i="2"/>
  <c r="H2" i="2"/>
  <c r="H101" i="2"/>
  <c r="H110" i="2"/>
  <c r="H60" i="2"/>
  <c r="H23" i="2"/>
  <c r="H109" i="2"/>
  <c r="H124" i="2"/>
  <c r="H48" i="2"/>
  <c r="H56" i="2"/>
  <c r="H105" i="2"/>
  <c r="H52" i="2"/>
  <c r="H99" i="2"/>
  <c r="H81" i="2"/>
  <c r="H82" i="2"/>
  <c r="H25" i="2"/>
  <c r="H88" i="2"/>
  <c r="H64" i="2"/>
  <c r="H85" i="2"/>
  <c r="H39" i="2"/>
  <c r="H80" i="2"/>
  <c r="H111" i="2"/>
  <c r="H108" i="2"/>
  <c r="H31" i="2"/>
</calcChain>
</file>

<file path=xl/sharedStrings.xml><?xml version="1.0" encoding="utf-8"?>
<sst xmlns="http://schemas.openxmlformats.org/spreadsheetml/2006/main" count="3749" uniqueCount="1113">
  <si>
    <t>Covid_Pasc</t>
  </si>
  <si>
    <t>Pathway</t>
  </si>
  <si>
    <t>Pathway_name</t>
  </si>
  <si>
    <t>Average of abs_DCE</t>
  </si>
  <si>
    <t>Adj_p_value</t>
  </si>
  <si>
    <t>Count of gene pairs</t>
  </si>
  <si>
    <t>Gene pairs</t>
  </si>
  <si>
    <t>hsa05163</t>
  </si>
  <si>
    <t>CTNNB1-&gt;CCND1</t>
  </si>
  <si>
    <t>NFATC1-&gt;CXCL8</t>
  </si>
  <si>
    <t>hsa04510</t>
  </si>
  <si>
    <t>JUN-&gt;CCND1</t>
  </si>
  <si>
    <t>hsa04371</t>
  </si>
  <si>
    <t>PRKAG2-&gt;PPARGC1A</t>
  </si>
  <si>
    <t>MAPK1-&gt;JAG1</t>
  </si>
  <si>
    <t>hsa04934</t>
  </si>
  <si>
    <t>CREB3-&gt;POMC</t>
  </si>
  <si>
    <t>SP1-&gt;NCEH1</t>
  </si>
  <si>
    <t>hsa04659</t>
  </si>
  <si>
    <t>hsa05222</t>
  </si>
  <si>
    <t>NFKB1-&gt;CCND1</t>
  </si>
  <si>
    <t>hsa05235</t>
  </si>
  <si>
    <t>NFKB1-&gt;CD274</t>
  </si>
  <si>
    <t>HIF1A-&gt;CD274</t>
  </si>
  <si>
    <t>hsa04137</t>
  </si>
  <si>
    <t>ATF4-&gt;PRKN</t>
  </si>
  <si>
    <t>TP53-&gt;BNIP3L</t>
  </si>
  <si>
    <t>hsa05135</t>
  </si>
  <si>
    <t>FOS-&gt;CXCL8</t>
  </si>
  <si>
    <t>NFATC1-&gt;IL10</t>
  </si>
  <si>
    <t>NFKB1-&gt;IL10</t>
  </si>
  <si>
    <t>hsa04935</t>
  </si>
  <si>
    <t>STAT1-&gt;IGF1</t>
  </si>
  <si>
    <t>Negative_Pasc</t>
  </si>
  <si>
    <t>hsa04622</t>
  </si>
  <si>
    <t>hsa04623</t>
  </si>
  <si>
    <t>hsa05152</t>
  </si>
  <si>
    <t>hsa05031</t>
  </si>
  <si>
    <t>hsa05034</t>
  </si>
  <si>
    <t>hsa05161</t>
  </si>
  <si>
    <t>hsa04620</t>
  </si>
  <si>
    <t>hsa05418</t>
  </si>
  <si>
    <t>Pathway (Covid_Pasc)</t>
  </si>
  <si>
    <t>Main Functions</t>
  </si>
  <si>
    <t>Number of gene pairs</t>
  </si>
  <si>
    <t>Average of ABS(DCE)</t>
  </si>
  <si>
    <t>Adj_p_value (Min)</t>
  </si>
  <si>
    <t>Pathway (Normal_Pasc)</t>
  </si>
  <si>
    <t>Human cytomegalovirus infection</t>
  </si>
  <si>
    <t>Maps host–virus interactions and immune evasion strategies during cytomegalovirus infection.</t>
  </si>
  <si>
    <t>Apelin signaling pathway</t>
  </si>
  <si>
    <t>Regulates cardiovascular tone, fluid homeostasis and angiogenesis via apelin–APJ receptor signaling.</t>
  </si>
  <si>
    <t>Focal adhesion</t>
  </si>
  <si>
    <t>Links extracellular matrix to cytoskeleton, regulating cell adhesion, migration and survival signals.</t>
  </si>
  <si>
    <t>RIG-I-like receptor signaling pathway</t>
  </si>
  <si>
    <t>Detects viral RNA in the cytoplasm to trigger interferon-mediated antiviral responses.</t>
  </si>
  <si>
    <t>Controls cardiovascular function and angiogenesis via the apelin–APJ receptor axis.</t>
  </si>
  <si>
    <t>Cytosolic DNA-sensing pathway</t>
  </si>
  <si>
    <t>Senses foreign DNA in the cytosol to activate innate immunity via STING and type I interferons.</t>
  </si>
  <si>
    <t>Cushing syndrome</t>
  </si>
  <si>
    <t>Illustrates effects of chronic cortisol excess on metabolism, immunity and tissue homeostasis.</t>
  </si>
  <si>
    <t>Growth hormone synthesis, secretion and action</t>
  </si>
  <si>
    <t>Controls GH release from pituitary and downstream IGF-1 signaling for growth and metabolism.</t>
  </si>
  <si>
    <t>Th17 cell differentiation</t>
  </si>
  <si>
    <t>Drives differentiation of naïve T cells into IL-17–producing Th17 cells for mucosal immunity.</t>
  </si>
  <si>
    <t>Tuberculosis</t>
  </si>
  <si>
    <t>Details host immune pathways (e.g., IFNγ, TNFα) activated during Mycobacterium tuberculosis infection.</t>
  </si>
  <si>
    <t>Small cell lung cancer – Homo sapiens (human)</t>
  </si>
  <si>
    <t>Highlights neuroendocrine tumor pathways driving SCLC proliferation and chemoresistance.</t>
  </si>
  <si>
    <t>Amphetamine addiction</t>
  </si>
  <si>
    <t>Illustrates dopaminergic reward‐circuit adaptations and synaptic changes in response to amphetamine.</t>
  </si>
  <si>
    <t>PD-L1 expression and PD-1 checkpoint pathway in cancer – Homo sapiens</t>
  </si>
  <si>
    <t>Details tumor immune-escape via PD-L1/PD-1 signaling and its blockade in immunotherapy.</t>
  </si>
  <si>
    <t>Alcoholism</t>
  </si>
  <si>
    <t>Maps neuroadaptive changes in GABAergic, glutamatergic and dopaminergic systems during chronic alcohol use.</t>
  </si>
  <si>
    <t>Mitophagy – animal</t>
  </si>
  <si>
    <t>Orchestrates selective autophagic removal of damaged mitochondria to maintain cellular health.</t>
  </si>
  <si>
    <t>Hepatitis B</t>
  </si>
  <si>
    <t>Charts viral lifecycle and host immune interactions in HBV infection of hepatocytes.</t>
  </si>
  <si>
    <t>Yersinia infection</t>
  </si>
  <si>
    <t>Covers bacterial adhesion, invasion and host inflammatory responses during Yersinia spp. infection.</t>
  </si>
  <si>
    <t>Toll-like receptor signaling pathway</t>
  </si>
  <si>
    <t>Recognizes pathogen-associated molecular patterns to initiate NF-κB and IRF-driven inflammatory responses.</t>
  </si>
  <si>
    <t>Charts GH release control and downstream IGF-1 signaling for growth and metabolic regulation.</t>
  </si>
  <si>
    <t>Fluid shear stress and atherosclerosis</t>
  </si>
  <si>
    <t>Describes endothelial responses to hemodynamic forces that influence plaque formation and vascular remodeling.</t>
  </si>
  <si>
    <t>Row Labels</t>
  </si>
  <si>
    <t>Average of abs(beta)</t>
  </si>
  <si>
    <t>Min of adj_p_value</t>
  </si>
  <si>
    <t>Min of p_value</t>
  </si>
  <si>
    <t>Count of predictor</t>
  </si>
  <si>
    <t>PW_Name</t>
  </si>
  <si>
    <t>hsa00010</t>
  </si>
  <si>
    <t>hsa00020</t>
  </si>
  <si>
    <t>hsa00030</t>
  </si>
  <si>
    <t>hsa00051</t>
  </si>
  <si>
    <t>hsa00052</t>
  </si>
  <si>
    <t>hsa00061</t>
  </si>
  <si>
    <t>hsa00062</t>
  </si>
  <si>
    <t>hsa00071</t>
  </si>
  <si>
    <t>hsa00120</t>
  </si>
  <si>
    <t>hsa00230</t>
  </si>
  <si>
    <t>hsa00240</t>
  </si>
  <si>
    <t>hsa00790</t>
  </si>
  <si>
    <t>hsa00250</t>
  </si>
  <si>
    <t>hsa00260</t>
  </si>
  <si>
    <t>hsa05130</t>
  </si>
  <si>
    <t>hsa00270</t>
  </si>
  <si>
    <t>hsa05142</t>
  </si>
  <si>
    <t>hsa00280</t>
  </si>
  <si>
    <t>hsa04936</t>
  </si>
  <si>
    <t>hsa00310</t>
  </si>
  <si>
    <t>hsa05120</t>
  </si>
  <si>
    <t>hsa00330</t>
  </si>
  <si>
    <t>hsa04670</t>
  </si>
  <si>
    <t>hsa00350</t>
  </si>
  <si>
    <t>hsa04660</t>
  </si>
  <si>
    <t>hsa00360</t>
  </si>
  <si>
    <t>hsa04917</t>
  </si>
  <si>
    <t>hsa00380</t>
  </si>
  <si>
    <t>hsa05321</t>
  </si>
  <si>
    <t>hsa00410</t>
  </si>
  <si>
    <t>hsa05170</t>
  </si>
  <si>
    <t>hsa00440</t>
  </si>
  <si>
    <t>hsa00450</t>
  </si>
  <si>
    <t>hsa04910</t>
  </si>
  <si>
    <t>hsa00480</t>
  </si>
  <si>
    <t>hsa00760</t>
  </si>
  <si>
    <t>hsa00500</t>
  </si>
  <si>
    <t>hsa04657</t>
  </si>
  <si>
    <t>hsa00510</t>
  </si>
  <si>
    <t>hsa05417</t>
  </si>
  <si>
    <t>hsa00512</t>
  </si>
  <si>
    <t>hsa05415</t>
  </si>
  <si>
    <t>hsa00513</t>
  </si>
  <si>
    <t>hsa04625</t>
  </si>
  <si>
    <t>hsa00515</t>
  </si>
  <si>
    <t>hsa00830</t>
  </si>
  <si>
    <t>hsa00520</t>
  </si>
  <si>
    <t>hsa05145</t>
  </si>
  <si>
    <t>hsa00531</t>
  </si>
  <si>
    <t>hsa05215</t>
  </si>
  <si>
    <t>hsa00534</t>
  </si>
  <si>
    <t>hsa04658</t>
  </si>
  <si>
    <t>hsa00541</t>
  </si>
  <si>
    <t>hsa04022</t>
  </si>
  <si>
    <t>hsa00561</t>
  </si>
  <si>
    <t>hsa04933</t>
  </si>
  <si>
    <t>hsa00562</t>
  </si>
  <si>
    <t>hsa00564</t>
  </si>
  <si>
    <t>hsa04916</t>
  </si>
  <si>
    <t>hsa00565</t>
  </si>
  <si>
    <t>hsa04024</t>
  </si>
  <si>
    <t>hsa00590</t>
  </si>
  <si>
    <t>hsa00591</t>
  </si>
  <si>
    <t>hsa05167</t>
  </si>
  <si>
    <t>hsa00600</t>
  </si>
  <si>
    <t>hsa04921</t>
  </si>
  <si>
    <t>hsa00601</t>
  </si>
  <si>
    <t>hsa05132</t>
  </si>
  <si>
    <t>hsa00603</t>
  </si>
  <si>
    <t>hsa05166</t>
  </si>
  <si>
    <t>hsa00604</t>
  </si>
  <si>
    <t>hsa05169</t>
  </si>
  <si>
    <t>hsa00620</t>
  </si>
  <si>
    <t>hsa00630</t>
  </si>
  <si>
    <t>hsa00640</t>
  </si>
  <si>
    <t>hsa04148</t>
  </si>
  <si>
    <t>hsa00650</t>
  </si>
  <si>
    <t>hsa05200</t>
  </si>
  <si>
    <t>hsa00670</t>
  </si>
  <si>
    <t>hsa04210</t>
  </si>
  <si>
    <t>hsa00750</t>
  </si>
  <si>
    <t>hsa04115</t>
  </si>
  <si>
    <t>hsa00770</t>
  </si>
  <si>
    <t>hsa00785</t>
  </si>
  <si>
    <t>hsa05208</t>
  </si>
  <si>
    <t>hsa00860</t>
  </si>
  <si>
    <t>hsa00900</t>
  </si>
  <si>
    <t>hsa04927</t>
  </si>
  <si>
    <t>hsa00920</t>
  </si>
  <si>
    <t>hsa04211</t>
  </si>
  <si>
    <t>hsa00980</t>
  </si>
  <si>
    <t>hsa00983</t>
  </si>
  <si>
    <t>hsa04066</t>
  </si>
  <si>
    <t>hsa04070</t>
  </si>
  <si>
    <t>hsa04928</t>
  </si>
  <si>
    <t>hsa04310</t>
  </si>
  <si>
    <t>hsa04340</t>
  </si>
  <si>
    <t>hsa04380</t>
  </si>
  <si>
    <t>hsa04919</t>
  </si>
  <si>
    <t>hsa04614</t>
  </si>
  <si>
    <t>hsa04650</t>
  </si>
  <si>
    <t>hsa05164</t>
  </si>
  <si>
    <t>hsa04931</t>
  </si>
  <si>
    <t>hsa05225</t>
  </si>
  <si>
    <t>hsa05210</t>
  </si>
  <si>
    <t>hsa05230</t>
  </si>
  <si>
    <t>hsa04960</t>
  </si>
  <si>
    <t>hsa05165</t>
  </si>
  <si>
    <t>hsa05012</t>
  </si>
  <si>
    <t>hsa05231</t>
  </si>
  <si>
    <t>hsa05140</t>
  </si>
  <si>
    <t>hsa05143</t>
  </si>
  <si>
    <t>hsa05202</t>
  </si>
  <si>
    <t>hsa05211</t>
  </si>
  <si>
    <t>hsa05213</t>
  </si>
  <si>
    <t>hsa05216</t>
  </si>
  <si>
    <t>hsa05224</t>
  </si>
  <si>
    <t>hsa05226</t>
  </si>
  <si>
    <t>Grand Total</t>
  </si>
  <si>
    <t>Main Function</t>
  </si>
  <si>
    <t>Sum of ABS(DCE)</t>
  </si>
  <si>
    <t>Endocytosis</t>
  </si>
  <si>
    <t>Involved in internalization of extracellular materials and is critical for viral entry into host cells.</t>
  </si>
  <si>
    <t>Protein Processing in Endoplasmic Reticulum</t>
  </si>
  <si>
    <t>Manages protein folding, quality control, and post-translational modifications; linked to ER stress and unfolded protein response.</t>
  </si>
  <si>
    <t>Viral Life Cycle</t>
  </si>
  <si>
    <t>Encompasses the processes of viral replication, assembly, and release from host cells.</t>
  </si>
  <si>
    <t>Coronavirus Diseases</t>
  </si>
  <si>
    <t>Directly related to SARS‑CoV‑2 infection; reflects mechanisms underlying COVID‑19 and its long-term sequelae (Long‑COVID).</t>
  </si>
  <si>
    <t>Ubiquitin Mediated Proteolysis</t>
  </si>
  <si>
    <t>Regulates protein degradation and turnover, influencing cellular signaling and stress responses.</t>
  </si>
  <si>
    <t>hsa00100</t>
  </si>
  <si>
    <t>hsa00130</t>
  </si>
  <si>
    <t>hsa00140</t>
  </si>
  <si>
    <t>hsa00220</t>
  </si>
  <si>
    <t>hsa05205</t>
  </si>
  <si>
    <t>hsa05160</t>
  </si>
  <si>
    <t>hsa04918</t>
  </si>
  <si>
    <t>hsa00340</t>
  </si>
  <si>
    <t>hsa04152</t>
  </si>
  <si>
    <t>hsa05162</t>
  </si>
  <si>
    <t>hsa05171</t>
  </si>
  <si>
    <t>hsa00532</t>
  </si>
  <si>
    <t>hsa00563</t>
  </si>
  <si>
    <t>hsa00592</t>
  </si>
  <si>
    <t>hsa04530</t>
  </si>
  <si>
    <t>hsa05221</t>
  </si>
  <si>
    <t>hsa00780</t>
  </si>
  <si>
    <t>hsa05207</t>
  </si>
  <si>
    <t>hsa04114</t>
  </si>
  <si>
    <t>hsa04213</t>
  </si>
  <si>
    <t>hsa04218</t>
  </si>
  <si>
    <t>hsa05168</t>
  </si>
  <si>
    <t>hsa04664</t>
  </si>
  <si>
    <t>pathway_source</t>
  </si>
  <si>
    <t>Gene_pairs</t>
  </si>
  <si>
    <t>predictor</t>
  </si>
  <si>
    <t>outcome</t>
  </si>
  <si>
    <t>beta_int</t>
  </si>
  <si>
    <t>abs_beta</t>
  </si>
  <si>
    <t>p_value</t>
  </si>
  <si>
    <t>adj_p_value</t>
  </si>
  <si>
    <t>SMAD2</t>
  </si>
  <si>
    <t>IL23R</t>
  </si>
  <si>
    <t>NADSYN1</t>
  </si>
  <si>
    <t>NMNAT2</t>
  </si>
  <si>
    <t>CTNNB1</t>
  </si>
  <si>
    <t>CCND1</t>
  </si>
  <si>
    <t>RORC</t>
  </si>
  <si>
    <t>PRKAG2</t>
  </si>
  <si>
    <t>PPARGC1A</t>
  </si>
  <si>
    <t>SIRT2</t>
  </si>
  <si>
    <t>CREB3</t>
  </si>
  <si>
    <t>POMC</t>
  </si>
  <si>
    <t>MTOR</t>
  </si>
  <si>
    <t>IRF4</t>
  </si>
  <si>
    <t>KLF2</t>
  </si>
  <si>
    <t>NOS3</t>
  </si>
  <si>
    <t>SAMD8</t>
  </si>
  <si>
    <t>DGKK</t>
  </si>
  <si>
    <t>NFKB1</t>
  </si>
  <si>
    <t>IL10</t>
  </si>
  <si>
    <t>NFATC1</t>
  </si>
  <si>
    <t>IL4</t>
  </si>
  <si>
    <t>MAPK8</t>
  </si>
  <si>
    <t>IL23A</t>
  </si>
  <si>
    <t>B4GALT1</t>
  </si>
  <si>
    <t>B3GALT2</t>
  </si>
  <si>
    <t>ALG6</t>
  </si>
  <si>
    <t>ALG5</t>
  </si>
  <si>
    <t>AMD1</t>
  </si>
  <si>
    <t>GNMT</t>
  </si>
  <si>
    <t>RUNX1</t>
  </si>
  <si>
    <t>NME6</t>
  </si>
  <si>
    <t>DTYMK</t>
  </si>
  <si>
    <t>MGLL</t>
  </si>
  <si>
    <t>LPL</t>
  </si>
  <si>
    <t>STAT3</t>
  </si>
  <si>
    <t>NT5C1B-RDH14</t>
  </si>
  <si>
    <t>PTGES3</t>
  </si>
  <si>
    <t>HPGDS</t>
  </si>
  <si>
    <t>ATF4</t>
  </si>
  <si>
    <t>PRKN</t>
  </si>
  <si>
    <t>CEPT1</t>
  </si>
  <si>
    <t>PEMT</t>
  </si>
  <si>
    <t>NUDT16</t>
  </si>
  <si>
    <t>ACSS2</t>
  </si>
  <si>
    <t>ALDH2</t>
  </si>
  <si>
    <t>LPCAT3</t>
  </si>
  <si>
    <t>PLD4</t>
  </si>
  <si>
    <t>CXCL8</t>
  </si>
  <si>
    <t>CD274</t>
  </si>
  <si>
    <t>HIF1A</t>
  </si>
  <si>
    <t>STAT5A</t>
  </si>
  <si>
    <t>IL2RA</t>
  </si>
  <si>
    <t>ALG9</t>
  </si>
  <si>
    <t>STAT1</t>
  </si>
  <si>
    <t>IGF1</t>
  </si>
  <si>
    <t>HCCS</t>
  </si>
  <si>
    <t>HMOX1</t>
  </si>
  <si>
    <t>ITPA</t>
  </si>
  <si>
    <t>GCH1</t>
  </si>
  <si>
    <t>MOCS1</t>
  </si>
  <si>
    <t>TP53</t>
  </si>
  <si>
    <t>BNIP3L</t>
  </si>
  <si>
    <t>PPARA</t>
  </si>
  <si>
    <t>PDK2</t>
  </si>
  <si>
    <t>FOS</t>
  </si>
  <si>
    <t>GALC</t>
  </si>
  <si>
    <t>PLPP1</t>
  </si>
  <si>
    <t>ACSF3</t>
  </si>
  <si>
    <t>ALG2</t>
  </si>
  <si>
    <t>ALG1</t>
  </si>
  <si>
    <t>CAD</t>
  </si>
  <si>
    <t>GLS2</t>
  </si>
  <si>
    <t>CXCL1</t>
  </si>
  <si>
    <t>GATA3</t>
  </si>
  <si>
    <t>MME</t>
  </si>
  <si>
    <t>ACE</t>
  </si>
  <si>
    <t>ALOX12</t>
  </si>
  <si>
    <t>ALOX15</t>
  </si>
  <si>
    <t>GNAI1</t>
  </si>
  <si>
    <t>RAPGEF3</t>
  </si>
  <si>
    <t>CXCL10</t>
  </si>
  <si>
    <t>STAT6</t>
  </si>
  <si>
    <t>MAPK1</t>
  </si>
  <si>
    <t>IRF3</t>
  </si>
  <si>
    <t>TRIM5</t>
  </si>
  <si>
    <t>INPP5B</t>
  </si>
  <si>
    <t>PLCD3</t>
  </si>
  <si>
    <t>MTM1</t>
  </si>
  <si>
    <t>PIP4P2</t>
  </si>
  <si>
    <t>SARM1</t>
  </si>
  <si>
    <t>GLO1</t>
  </si>
  <si>
    <t>HAGH</t>
  </si>
  <si>
    <t>BCL2A1</t>
  </si>
  <si>
    <t>FOXO1</t>
  </si>
  <si>
    <t>FBP1</t>
  </si>
  <si>
    <t>FDPS</t>
  </si>
  <si>
    <t>IDI1</t>
  </si>
  <si>
    <t>S100A8</t>
  </si>
  <si>
    <t>ADSL</t>
  </si>
  <si>
    <t>COX15</t>
  </si>
  <si>
    <t>COX10</t>
  </si>
  <si>
    <t>RRM2B</t>
  </si>
  <si>
    <t>SGPP2</t>
  </si>
  <si>
    <t>UGT8</t>
  </si>
  <si>
    <t>PCYT1A</t>
  </si>
  <si>
    <t>RETSAT</t>
  </si>
  <si>
    <t>RDH13</t>
  </si>
  <si>
    <t>ABAT</t>
  </si>
  <si>
    <t>SESN3</t>
  </si>
  <si>
    <t>IL12A</t>
  </si>
  <si>
    <t>GPX4</t>
  </si>
  <si>
    <t>CEBPB</t>
  </si>
  <si>
    <t>JUN</t>
  </si>
  <si>
    <t>FASLG</t>
  </si>
  <si>
    <t>BCL2</t>
  </si>
  <si>
    <t>PLA2G4B</t>
  </si>
  <si>
    <t>ALOX5</t>
  </si>
  <si>
    <t>GSTO2</t>
  </si>
  <si>
    <t>CYP1B1</t>
  </si>
  <si>
    <t>IFNG</t>
  </si>
  <si>
    <t>IL18</t>
  </si>
  <si>
    <t>KDSR</t>
  </si>
  <si>
    <t>ACER3</t>
  </si>
  <si>
    <t>PPARG</t>
  </si>
  <si>
    <t>RGS2</t>
  </si>
  <si>
    <t>ADK</t>
  </si>
  <si>
    <t>ADA</t>
  </si>
  <si>
    <t>CNDP2</t>
  </si>
  <si>
    <t>TRPC6</t>
  </si>
  <si>
    <t>STAT4</t>
  </si>
  <si>
    <t>TPI1</t>
  </si>
  <si>
    <t>TKFC</t>
  </si>
  <si>
    <t>AKR1B1</t>
  </si>
  <si>
    <t>QPRT</t>
  </si>
  <si>
    <t>UCKL1</t>
  </si>
  <si>
    <t>CDA</t>
  </si>
  <si>
    <t>CTPS1</t>
  </si>
  <si>
    <t>ACAD8</t>
  </si>
  <si>
    <t>ECHS1</t>
  </si>
  <si>
    <t>OXSM</t>
  </si>
  <si>
    <t>HSD17B8</t>
  </si>
  <si>
    <t>PGLS</t>
  </si>
  <si>
    <t>PGD</t>
  </si>
  <si>
    <t>HPRT1</t>
  </si>
  <si>
    <t>IMPDH1</t>
  </si>
  <si>
    <t>MITF</t>
  </si>
  <si>
    <t>DCT</t>
  </si>
  <si>
    <t>TBX21</t>
  </si>
  <si>
    <t>PNPO</t>
  </si>
  <si>
    <t>PHOSPHO2</t>
  </si>
  <si>
    <t>LANCL1</t>
  </si>
  <si>
    <t>CHURC1-FNTB</t>
  </si>
  <si>
    <t>PDSS1</t>
  </si>
  <si>
    <t>IMPA1</t>
  </si>
  <si>
    <t>CDIPT</t>
  </si>
  <si>
    <t>B4GAT1</t>
  </si>
  <si>
    <t>LARGE2</t>
  </si>
  <si>
    <t>ALDH6A1</t>
  </si>
  <si>
    <t>PCCA</t>
  </si>
  <si>
    <t>EHMT2</t>
  </si>
  <si>
    <t>PLOD1</t>
  </si>
  <si>
    <t>DOLPP1</t>
  </si>
  <si>
    <t>GSS</t>
  </si>
  <si>
    <t>EXTL2</t>
  </si>
  <si>
    <t>EXT1</t>
  </si>
  <si>
    <t>NANS</t>
  </si>
  <si>
    <t>NPL</t>
  </si>
  <si>
    <t>FUT8</t>
  </si>
  <si>
    <t>MTHFD1</t>
  </si>
  <si>
    <t>MTHFD2</t>
  </si>
  <si>
    <t>ACACA</t>
  </si>
  <si>
    <t>DLAT</t>
  </si>
  <si>
    <t>NFE2L2</t>
  </si>
  <si>
    <t>IL12RB1</t>
  </si>
  <si>
    <t>MCCC1</t>
  </si>
  <si>
    <t>IL4R</t>
  </si>
  <si>
    <t>TGFB1</t>
  </si>
  <si>
    <t>CANT1</t>
  </si>
  <si>
    <t>B4GALT4</t>
  </si>
  <si>
    <t>GCNT2</t>
  </si>
  <si>
    <t>ALG12</t>
  </si>
  <si>
    <t>IDNK</t>
  </si>
  <si>
    <t>GBA1</t>
  </si>
  <si>
    <t>SORD</t>
  </si>
  <si>
    <t>KHK</t>
  </si>
  <si>
    <t>CAMKMT</t>
  </si>
  <si>
    <t>JAG1</t>
  </si>
  <si>
    <t>CTSK</t>
  </si>
  <si>
    <t>ALDOA</t>
  </si>
  <si>
    <t>PFKL</t>
  </si>
  <si>
    <t>SP1</t>
  </si>
  <si>
    <t>NCEH1</t>
  </si>
  <si>
    <t>PISD</t>
  </si>
  <si>
    <t>DLD</t>
  </si>
  <si>
    <t>DHTKD1</t>
  </si>
  <si>
    <t>EDN1</t>
  </si>
  <si>
    <t>PAFAH1B1</t>
  </si>
  <si>
    <t>POMT1</t>
  </si>
  <si>
    <t>POMGNT1</t>
  </si>
  <si>
    <t>UMPS</t>
  </si>
  <si>
    <t>PDHA1</t>
  </si>
  <si>
    <t>ACADS</t>
  </si>
  <si>
    <t>CMPK1</t>
  </si>
  <si>
    <t>MCAT</t>
  </si>
  <si>
    <t>SHPK</t>
  </si>
  <si>
    <t>TKT</t>
  </si>
  <si>
    <t>INPP5A</t>
  </si>
  <si>
    <t>IPMK</t>
  </si>
  <si>
    <t>SHMT1</t>
  </si>
  <si>
    <t>INPP1</t>
  </si>
  <si>
    <t>ITPK1</t>
  </si>
  <si>
    <t>CS</t>
  </si>
  <si>
    <t>ACAT1</t>
  </si>
  <si>
    <t>CARNS1</t>
  </si>
  <si>
    <t>PRKACA</t>
  </si>
  <si>
    <t>NR4A2</t>
  </si>
  <si>
    <t>B4GALT3</t>
  </si>
  <si>
    <t>B3GALNT1</t>
  </si>
  <si>
    <t>BID</t>
  </si>
  <si>
    <t>ICAM1</t>
  </si>
  <si>
    <t>THRB</t>
  </si>
  <si>
    <t>PIP5K1C</t>
  </si>
  <si>
    <t>PTEN</t>
  </si>
  <si>
    <t>TNF</t>
  </si>
  <si>
    <t>INPP4A</t>
  </si>
  <si>
    <t>AHCYL1</t>
  </si>
  <si>
    <t>KYAT3</t>
  </si>
  <si>
    <t>SQSTM1</t>
  </si>
  <si>
    <t>OXCT1</t>
  </si>
  <si>
    <t>AOC2</t>
  </si>
  <si>
    <t>SMOX</t>
  </si>
  <si>
    <t>OAT</t>
  </si>
  <si>
    <t>ALDH4A1</t>
  </si>
  <si>
    <t>MAPK14</t>
  </si>
  <si>
    <t>IRF9</t>
  </si>
  <si>
    <t>PML</t>
  </si>
  <si>
    <t>GLUL</t>
  </si>
  <si>
    <t>GLA</t>
  </si>
  <si>
    <t>B4GALT6</t>
  </si>
  <si>
    <t>DHODH</t>
  </si>
  <si>
    <t>LYPLA1</t>
  </si>
  <si>
    <t>HIBADH</t>
  </si>
  <si>
    <t>DUT</t>
  </si>
  <si>
    <t>PGM2</t>
  </si>
  <si>
    <t>RBKS</t>
  </si>
  <si>
    <t>HEXA</t>
  </si>
  <si>
    <t>B3GALT4</t>
  </si>
  <si>
    <t>NAGK</t>
  </si>
  <si>
    <t>AMDHD2</t>
  </si>
  <si>
    <t>HK1</t>
  </si>
  <si>
    <t>PFKFB1</t>
  </si>
  <si>
    <t>MECR</t>
  </si>
  <si>
    <t>PPT1</t>
  </si>
  <si>
    <t>CEBPA</t>
  </si>
  <si>
    <t>MYC</t>
  </si>
  <si>
    <t>MLXIP</t>
  </si>
  <si>
    <t>ACACB</t>
  </si>
  <si>
    <t>ST3GAL3</t>
  </si>
  <si>
    <t>RPS6KA5</t>
  </si>
  <si>
    <t>AACS</t>
  </si>
  <si>
    <t>ETHE1</t>
  </si>
  <si>
    <t>MPST</t>
  </si>
  <si>
    <t>NIT2</t>
  </si>
  <si>
    <t>IL4I1</t>
  </si>
  <si>
    <t>RENBP</t>
  </si>
  <si>
    <t>PIK3C2A</t>
  </si>
  <si>
    <t>B4GALNT3</t>
  </si>
  <si>
    <t>CHST8</t>
  </si>
  <si>
    <t>COP1</t>
  </si>
  <si>
    <t>GAMT</t>
  </si>
  <si>
    <t>GATM</t>
  </si>
  <si>
    <t>GNPDA1</t>
  </si>
  <si>
    <t>GPI</t>
  </si>
  <si>
    <t>HAAO</t>
  </si>
  <si>
    <t>KYNU</t>
  </si>
  <si>
    <t>SGMS2</t>
  </si>
  <si>
    <t>PTGS2</t>
  </si>
  <si>
    <t>DPAGT1</t>
  </si>
  <si>
    <t>GLI1</t>
  </si>
  <si>
    <t>UROD</t>
  </si>
  <si>
    <t>UROS</t>
  </si>
  <si>
    <t>BDH1</t>
  </si>
  <si>
    <t>SPI1</t>
  </si>
  <si>
    <t>CSF3R</t>
  </si>
  <si>
    <t>TALDO1</t>
  </si>
  <si>
    <t>PKM</t>
  </si>
  <si>
    <t>PTDSS2</t>
  </si>
  <si>
    <t>PIK3C3</t>
  </si>
  <si>
    <t>RCE1</t>
  </si>
  <si>
    <t>GAPDH</t>
  </si>
  <si>
    <t>ST6GAL1</t>
  </si>
  <si>
    <t>CDKN1B</t>
  </si>
  <si>
    <t>NADK2</t>
  </si>
  <si>
    <t>NANP</t>
  </si>
  <si>
    <t>NUDT13</t>
  </si>
  <si>
    <t>ATIC</t>
  </si>
  <si>
    <t>OGDH</t>
  </si>
  <si>
    <t>ACOX1</t>
  </si>
  <si>
    <t>PSAT1</t>
  </si>
  <si>
    <t>PHGDH</t>
  </si>
  <si>
    <t>GMPS</t>
  </si>
  <si>
    <t>TYMP</t>
  </si>
  <si>
    <t>DPYD</t>
  </si>
  <si>
    <t>CTSG</t>
  </si>
  <si>
    <t>ENPEP</t>
  </si>
  <si>
    <t>RFX5</t>
  </si>
  <si>
    <t>CD74</t>
  </si>
  <si>
    <t>BLVRA</t>
  </si>
  <si>
    <t>CDK4</t>
  </si>
  <si>
    <t>CTH</t>
  </si>
  <si>
    <t>TXNRD2</t>
  </si>
  <si>
    <t>GCNT1</t>
  </si>
  <si>
    <t>POC1B-GALNT4</t>
  </si>
  <si>
    <t>SUOX</t>
  </si>
  <si>
    <t>KMO</t>
  </si>
  <si>
    <t>HADH</t>
  </si>
  <si>
    <t>IVD</t>
  </si>
  <si>
    <t>PPAT</t>
  </si>
  <si>
    <t>CYP7B1</t>
  </si>
  <si>
    <t>HSD3B7</t>
  </si>
  <si>
    <t>ALG8</t>
  </si>
  <si>
    <t>GDPD1</t>
  </si>
  <si>
    <t>ENPP1</t>
  </si>
  <si>
    <t>PDE10A</t>
  </si>
  <si>
    <t>HDDC2</t>
  </si>
  <si>
    <t>DBT</t>
  </si>
  <si>
    <t>EPHX1</t>
  </si>
  <si>
    <t>FCSK</t>
  </si>
  <si>
    <t>FPGT</t>
  </si>
  <si>
    <t>LDHD</t>
  </si>
  <si>
    <t>ME3</t>
  </si>
  <si>
    <t>C1GALT1C1</t>
  </si>
  <si>
    <t>ACADM</t>
  </si>
  <si>
    <t>ZMPSTE24</t>
  </si>
  <si>
    <t>GLB1</t>
  </si>
  <si>
    <t>PER2</t>
  </si>
  <si>
    <t>ARSA</t>
  </si>
  <si>
    <t>PRUNE1</t>
  </si>
  <si>
    <t>HDDC3</t>
  </si>
  <si>
    <t>TPMT</t>
  </si>
  <si>
    <t>MTHFD1L</t>
  </si>
  <si>
    <t>FASN</t>
  </si>
  <si>
    <t>TXN2</t>
  </si>
  <si>
    <t>EPAS1</t>
  </si>
  <si>
    <t>TGFA</t>
  </si>
  <si>
    <t>GNPNAT1</t>
  </si>
  <si>
    <t>PGM3</t>
  </si>
  <si>
    <t>ECHDC1</t>
  </si>
  <si>
    <t>PGK1</t>
  </si>
  <si>
    <t>NAGA</t>
  </si>
  <si>
    <t>SEPHS2</t>
  </si>
  <si>
    <t>SCLY</t>
  </si>
  <si>
    <t>PPOX</t>
  </si>
  <si>
    <t>CPOX</t>
  </si>
  <si>
    <t>MAT2B</t>
  </si>
  <si>
    <t>MAN2A2</t>
  </si>
  <si>
    <t>CEL</t>
  </si>
  <si>
    <t>B4GALT2</t>
  </si>
  <si>
    <t>B3GNT5</t>
  </si>
  <si>
    <t>CPT2</t>
  </si>
  <si>
    <t>UPB1</t>
  </si>
  <si>
    <t>IDUA</t>
  </si>
  <si>
    <t>SGSH</t>
  </si>
  <si>
    <t>DCTD</t>
  </si>
  <si>
    <t>GUK1</t>
  </si>
  <si>
    <t>UGCG</t>
  </si>
  <si>
    <t>LEF1</t>
  </si>
  <si>
    <t>GFPT1</t>
  </si>
  <si>
    <t>ITGAM</t>
  </si>
  <si>
    <t>PDE7B</t>
  </si>
  <si>
    <t>CBR4</t>
  </si>
  <si>
    <t>MTR</t>
  </si>
  <si>
    <t>P3R3URF-PIK3R3</t>
  </si>
  <si>
    <t>VAV3</t>
  </si>
  <si>
    <t>PLAAT3</t>
  </si>
  <si>
    <t>LCAT</t>
  </si>
  <si>
    <t>CMPK2</t>
  </si>
  <si>
    <t>ARSB</t>
  </si>
  <si>
    <t>MIF</t>
  </si>
  <si>
    <t>ARG1</t>
  </si>
  <si>
    <t>ODC1</t>
  </si>
  <si>
    <t>PIK3CA</t>
  </si>
  <si>
    <t>PTGS1</t>
  </si>
  <si>
    <t>VEGFA</t>
  </si>
  <si>
    <t>PIKFYVE</t>
  </si>
  <si>
    <t>PGS1</t>
  </si>
  <si>
    <t>CRLS1</t>
  </si>
  <si>
    <t>ST8SIA5</t>
  </si>
  <si>
    <t>ST6GALNAC3</t>
  </si>
  <si>
    <t>CHAC2</t>
  </si>
  <si>
    <t>ATP2A1</t>
  </si>
  <si>
    <t>PPP3CA</t>
  </si>
  <si>
    <t>SGPL1</t>
  </si>
  <si>
    <t>FCGR3B</t>
  </si>
  <si>
    <t>PRKCB</t>
  </si>
  <si>
    <t>GALM</t>
  </si>
  <si>
    <t>ADPGK</t>
  </si>
  <si>
    <t>MGAM</t>
  </si>
  <si>
    <t>AGL</t>
  </si>
  <si>
    <t>TCF3</t>
  </si>
  <si>
    <t>BAX</t>
  </si>
  <si>
    <t>ALOX15B</t>
  </si>
  <si>
    <t>ACSS3</t>
  </si>
  <si>
    <t>NNMT</t>
  </si>
  <si>
    <t>BST1</t>
  </si>
  <si>
    <t>GUCY1A2</t>
  </si>
  <si>
    <t>NUDT2</t>
  </si>
  <si>
    <t>AGPAT1</t>
  </si>
  <si>
    <t>AK6</t>
  </si>
  <si>
    <t>NR3C2</t>
  </si>
  <si>
    <t>KRAS</t>
  </si>
  <si>
    <t>AOC1</t>
  </si>
  <si>
    <t>SAT2</t>
  </si>
  <si>
    <t>ANPEP</t>
  </si>
  <si>
    <t>COASY</t>
  </si>
  <si>
    <t>ADI1</t>
  </si>
  <si>
    <t>HSD17B4</t>
  </si>
  <si>
    <t>PRDX6</t>
  </si>
  <si>
    <t>ALDH18A1</t>
  </si>
  <si>
    <t>GLDC</t>
  </si>
  <si>
    <t>MAOA</t>
  </si>
  <si>
    <t>UAP1</t>
  </si>
  <si>
    <t>GART</t>
  </si>
  <si>
    <t>TYMS</t>
  </si>
  <si>
    <t>TK1</t>
  </si>
  <si>
    <t>MMP9</t>
  </si>
  <si>
    <t>CHSY1</t>
  </si>
  <si>
    <t>ST8SIA1</t>
  </si>
  <si>
    <t>AOX1</t>
  </si>
  <si>
    <t>CCNA2</t>
  </si>
  <si>
    <t>E2F1</t>
  </si>
  <si>
    <t>FOXM1</t>
  </si>
  <si>
    <t>NOTCH1</t>
  </si>
  <si>
    <t>FLT4</t>
  </si>
  <si>
    <t>HDC</t>
  </si>
  <si>
    <t>HNMT</t>
  </si>
  <si>
    <t>PIP5KL1</t>
  </si>
  <si>
    <t>ST3GAL1</t>
  </si>
  <si>
    <t>ST6GALNAC2</t>
  </si>
  <si>
    <t>PIM2</t>
  </si>
  <si>
    <t>PLAUR</t>
  </si>
  <si>
    <t>ACAA1</t>
  </si>
  <si>
    <t>FOSB</t>
  </si>
  <si>
    <t>CBR1</t>
  </si>
  <si>
    <t>LAP3</t>
  </si>
  <si>
    <t>GCLC</t>
  </si>
  <si>
    <t>A4GALT</t>
  </si>
  <si>
    <t>NUS1</t>
  </si>
  <si>
    <t>GGPS1</t>
  </si>
  <si>
    <t>PRCP</t>
  </si>
  <si>
    <t>AFMID</t>
  </si>
  <si>
    <t>BPGM</t>
  </si>
  <si>
    <t>MINPP1</t>
  </si>
  <si>
    <t>BIRC5</t>
  </si>
  <si>
    <t>PDGFB</t>
  </si>
  <si>
    <t>NQO1</t>
  </si>
  <si>
    <t>NUDT5</t>
  </si>
  <si>
    <t>MMUT</t>
  </si>
  <si>
    <t>SUCLG2</t>
  </si>
  <si>
    <t>RARA</t>
  </si>
  <si>
    <t>MARS1</t>
  </si>
  <si>
    <t>CSF1R</t>
  </si>
  <si>
    <t>ADSS1</t>
  </si>
  <si>
    <t>ASRGL1</t>
  </si>
  <si>
    <t>GSK3B</t>
  </si>
  <si>
    <t>PSPH</t>
  </si>
  <si>
    <t>SLC33A1</t>
  </si>
  <si>
    <t>CYP3A5</t>
  </si>
  <si>
    <t>CYP19A1</t>
  </si>
  <si>
    <t>S100A9</t>
  </si>
  <si>
    <t>MGAT3</t>
  </si>
  <si>
    <t>MGAT2</t>
  </si>
  <si>
    <t>NNT</t>
  </si>
  <si>
    <t>GGCX</t>
  </si>
  <si>
    <t>FUT4</t>
  </si>
  <si>
    <t>AASS</t>
  </si>
  <si>
    <t>GLYCTK</t>
  </si>
  <si>
    <t>VCAM1</t>
  </si>
  <si>
    <t>PLAU</t>
  </si>
  <si>
    <t>CDKN1A</t>
  </si>
  <si>
    <t>INPP5F</t>
  </si>
  <si>
    <t>FOXO3</t>
  </si>
  <si>
    <t>SARDH</t>
  </si>
  <si>
    <t>CITED2</t>
  </si>
  <si>
    <t>HAL</t>
  </si>
  <si>
    <t>GGCT</t>
  </si>
  <si>
    <t>CCL5</t>
  </si>
  <si>
    <t>PHYKPL</t>
  </si>
  <si>
    <t>GCDH</t>
  </si>
  <si>
    <t>CERK</t>
  </si>
  <si>
    <t>ATG5</t>
  </si>
  <si>
    <t>GNE</t>
  </si>
  <si>
    <t>PYCR2</t>
  </si>
  <si>
    <t>CCL3L3</t>
  </si>
  <si>
    <t>LCN2</t>
  </si>
  <si>
    <t>DHRS9</t>
  </si>
  <si>
    <t>GAD1</t>
  </si>
  <si>
    <t>PAICS</t>
  </si>
  <si>
    <t>LIPT2</t>
  </si>
  <si>
    <t>LIAS</t>
  </si>
  <si>
    <t>PNP</t>
  </si>
  <si>
    <t>PANK1</t>
  </si>
  <si>
    <t>ALDH7A1</t>
  </si>
  <si>
    <t>PIGL</t>
  </si>
  <si>
    <t>PIGW</t>
  </si>
  <si>
    <t>DCK</t>
  </si>
  <si>
    <t>NT5C3B</t>
  </si>
  <si>
    <t>CMAS</t>
  </si>
  <si>
    <t>IGFBP3</t>
  </si>
  <si>
    <t>BTK</t>
  </si>
  <si>
    <t>GLUD1</t>
  </si>
  <si>
    <t>OAS1</t>
  </si>
  <si>
    <t>PEDS1</t>
  </si>
  <si>
    <t>LPCAT4</t>
  </si>
  <si>
    <t>SREBF1</t>
  </si>
  <si>
    <t>SCD</t>
  </si>
  <si>
    <t>ST3GAL6</t>
  </si>
  <si>
    <t>RPE</t>
  </si>
  <si>
    <t>GPHN</t>
  </si>
  <si>
    <t>ASAH1</t>
  </si>
  <si>
    <t>SPHK2</t>
  </si>
  <si>
    <t>EIF2AK1</t>
  </si>
  <si>
    <t>LSS</t>
  </si>
  <si>
    <t>DHCR24</t>
  </si>
  <si>
    <t>NOL3</t>
  </si>
  <si>
    <t>CASP8</t>
  </si>
  <si>
    <t>GPD2</t>
  </si>
  <si>
    <t>ADPRM</t>
  </si>
  <si>
    <t>FPGS</t>
  </si>
  <si>
    <t>GGH</t>
  </si>
  <si>
    <t>ABO</t>
  </si>
  <si>
    <t>AR</t>
  </si>
  <si>
    <t>SLC2A1</t>
  </si>
  <si>
    <t>CYP2E1</t>
  </si>
  <si>
    <t>SRR</t>
  </si>
  <si>
    <t>PTS</t>
  </si>
  <si>
    <t>AKR1C8</t>
  </si>
  <si>
    <t>TP73</t>
  </si>
  <si>
    <t>POLB</t>
  </si>
  <si>
    <t>ALAS1</t>
  </si>
  <si>
    <t>ALAD</t>
  </si>
  <si>
    <t>MTHFR</t>
  </si>
  <si>
    <t>IRF7</t>
  </si>
  <si>
    <t>CARNMT1</t>
  </si>
  <si>
    <t>CYP2U1</t>
  </si>
  <si>
    <t>BCL2L11</t>
  </si>
  <si>
    <t>MOCS2</t>
  </si>
  <si>
    <t>ITGAL</t>
  </si>
  <si>
    <t>CEBPE</t>
  </si>
  <si>
    <t>ADGRB1</t>
  </si>
  <si>
    <t>MOCOS</t>
  </si>
  <si>
    <t>GFUS</t>
  </si>
  <si>
    <t>GMDS</t>
  </si>
  <si>
    <t>HIBCH</t>
  </si>
  <si>
    <t>SERPINE1</t>
  </si>
  <si>
    <t>THRA</t>
  </si>
  <si>
    <t>DHFR</t>
  </si>
  <si>
    <t>RIMKLA</t>
  </si>
  <si>
    <t>PGAP1</t>
  </si>
  <si>
    <t>PGAP3</t>
  </si>
  <si>
    <t>TTF2</t>
  </si>
  <si>
    <t>TG</t>
  </si>
  <si>
    <t>MDH1</t>
  </si>
  <si>
    <t>HMGCL</t>
  </si>
  <si>
    <t>DDIT3</t>
  </si>
  <si>
    <t>ERO1A</t>
  </si>
  <si>
    <t>CYP2J2</t>
  </si>
  <si>
    <t>GTSE1</t>
  </si>
  <si>
    <t>CDC25A</t>
  </si>
  <si>
    <t>HEY1</t>
  </si>
  <si>
    <t>FAH</t>
  </si>
  <si>
    <t>FAHD1</t>
  </si>
  <si>
    <t>GMPR</t>
  </si>
  <si>
    <t>AKR1A1</t>
  </si>
  <si>
    <t>GALE</t>
  </si>
  <si>
    <t>MPI</t>
  </si>
  <si>
    <t>ACADSB</t>
  </si>
  <si>
    <t>CD80</t>
  </si>
  <si>
    <t>CYP27B1</t>
  </si>
  <si>
    <t>CYP2R1</t>
  </si>
  <si>
    <t>CD1A</t>
  </si>
  <si>
    <t>IL15</t>
  </si>
  <si>
    <t>GANAB</t>
  </si>
  <si>
    <t>MAN1B1</t>
  </si>
  <si>
    <t>CCL2</t>
  </si>
  <si>
    <t>HLCS</t>
  </si>
  <si>
    <t>CD44</t>
  </si>
  <si>
    <t>GCAT</t>
  </si>
  <si>
    <t>IL21</t>
  </si>
  <si>
    <t>PW_Short</t>
  </si>
  <si>
    <t>Glycolysis / Gluconeogenesis</t>
  </si>
  <si>
    <t>Glycolysis</t>
  </si>
  <si>
    <t>Citrate cycle (TCA cycle)</t>
  </si>
  <si>
    <t>Citrate cycle</t>
  </si>
  <si>
    <t>Pentose phosphate pathway</t>
  </si>
  <si>
    <t>Pentose phosphate</t>
  </si>
  <si>
    <t>Fructose and mannose metabolism</t>
  </si>
  <si>
    <t>Fructose &amp; mannose</t>
  </si>
  <si>
    <t>Galactose metabolism</t>
  </si>
  <si>
    <t>Fatty acid biosynthesis</t>
  </si>
  <si>
    <t>Fatty acid elongation</t>
  </si>
  <si>
    <t>Fatty acid degradation</t>
  </si>
  <si>
    <t>Primary bile acid biosynthesis</t>
  </si>
  <si>
    <t>Primary bile acid</t>
  </si>
  <si>
    <t>Purine metabolism</t>
  </si>
  <si>
    <t>Pyrimidine metabolism</t>
  </si>
  <si>
    <t>Alanine, aspartate and glutamate metabolism</t>
  </si>
  <si>
    <t>Alanine, aspartate</t>
  </si>
  <si>
    <t>Glycine, serine and threonine metabolism</t>
  </si>
  <si>
    <t>Glycine, serine</t>
  </si>
  <si>
    <t>Cysteine and methionine metabolism</t>
  </si>
  <si>
    <t>Cysteine and methionine</t>
  </si>
  <si>
    <t>Valine, leucine and isoleucine degradation</t>
  </si>
  <si>
    <t>Valine, leucine</t>
  </si>
  <si>
    <t>Lysine degradation</t>
  </si>
  <si>
    <t>Arginine and proline metabolism</t>
  </si>
  <si>
    <t>Arginine and proline</t>
  </si>
  <si>
    <t>Tyrosine metabolism</t>
  </si>
  <si>
    <t>Phenylalanine metabolism KEGG</t>
  </si>
  <si>
    <t>Phenylalanine metabolism</t>
  </si>
  <si>
    <t>Tryptophan metabolism genome.jp</t>
  </si>
  <si>
    <t>Tryptophan metabolism</t>
  </si>
  <si>
    <t>β-Alanine metabolism KEGG</t>
  </si>
  <si>
    <t>β-Alanine metabolism</t>
  </si>
  <si>
    <t>Phosphonate and phosphinate metabolism KEGG</t>
  </si>
  <si>
    <t>Phosphonate and metabolism</t>
  </si>
  <si>
    <t>Selenocompound metabolism genome.jp</t>
  </si>
  <si>
    <t>Selenocompound metabolism</t>
  </si>
  <si>
    <t>Glutathione metabolism KEGG</t>
  </si>
  <si>
    <t>Glutathione metabolism</t>
  </si>
  <si>
    <t>Starch and sucrose metabolism KEGG</t>
  </si>
  <si>
    <t>Starch and sucrose</t>
  </si>
  <si>
    <t>N‑Glycan biosynthesis KEGG</t>
  </si>
  <si>
    <t>N‑Glycan biosynthesis</t>
  </si>
  <si>
    <t>Mucin‑type O‑glycan biosynthesis KEGG</t>
  </si>
  <si>
    <t xml:space="preserve">Mucin‑type O‑glycan </t>
  </si>
  <si>
    <t>Various types of N‑glycan biosynthesis KEGG</t>
  </si>
  <si>
    <t>Various types of N‑glycan</t>
  </si>
  <si>
    <t>Mannose‑type O‑glycan biosynthesis genome.jp</t>
  </si>
  <si>
    <t>Mannose‑type O‑glycan</t>
  </si>
  <si>
    <t>Amino sugar and nucleotide sugar metabolism KEGG</t>
  </si>
  <si>
    <t>Amino sugar and nucleotide</t>
  </si>
  <si>
    <t>Glycosaminoglycan degradation KEGG</t>
  </si>
  <si>
    <t>Glycosaminoglycan degradation</t>
  </si>
  <si>
    <t>Glycosaminoglycan biosynthesis – heparan sulfate/heparin KEGG</t>
  </si>
  <si>
    <t>Glycosaminoglycan biosynthesis</t>
  </si>
  <si>
    <t>Biosynthesis of various nucleotide sugars KEGG</t>
  </si>
  <si>
    <t>Biosynthesis of vari</t>
  </si>
  <si>
    <t>Glycerolipid metabolism genome.jp</t>
  </si>
  <si>
    <t>Glycerolipid metabol</t>
  </si>
  <si>
    <t>Inositol phosphate metabolism genome.jp</t>
  </si>
  <si>
    <t>Inositol phosphate m</t>
  </si>
  <si>
    <t>Glycerophospholipid metabolism KEGG</t>
  </si>
  <si>
    <t xml:space="preserve">Glycerophospholipid </t>
  </si>
  <si>
    <t>Ether lipid metabolism KEGG</t>
  </si>
  <si>
    <t>Ether lipid metaboli</t>
  </si>
  <si>
    <t>Arachidonic acid metabolism genome.jp</t>
  </si>
  <si>
    <t>Arachidonic acid met</t>
  </si>
  <si>
    <t>Linoleic acid metabolism genome.jp</t>
  </si>
  <si>
    <t>Linoleic acid metabo</t>
  </si>
  <si>
    <t>Sphingolipid metabolism genome.jp</t>
  </si>
  <si>
    <t>Sphingolipid metabol</t>
  </si>
  <si>
    <t>Glycosphingolipid biosynthesis – lacto &amp; neolacto series genome.jp</t>
  </si>
  <si>
    <t>Glycosphingolipid bi</t>
  </si>
  <si>
    <t>Glycosphingolipid biosynthesis – globo &amp; isoglobo series genome.jp</t>
  </si>
  <si>
    <t>Glycosphingolipid biosynthesis – ganglio series genome.jp</t>
  </si>
  <si>
    <t>Pyruvate metabolism KEGG</t>
  </si>
  <si>
    <t xml:space="preserve">Pyruvate metabolism </t>
  </si>
  <si>
    <t>Glyoxylate and dicarboxylate metabolism KEGG</t>
  </si>
  <si>
    <t>Glyoxylate and dicar</t>
  </si>
  <si>
    <t>Propanoate metabolism</t>
  </si>
  <si>
    <t>Propanoate metabolis</t>
  </si>
  <si>
    <t>Butanoate metabolism</t>
  </si>
  <si>
    <t>One carbon pool by folate</t>
  </si>
  <si>
    <t>One carbon pool by f</t>
  </si>
  <si>
    <t>Vitamin B6 metabolism</t>
  </si>
  <si>
    <t>Vitamin B6 metabolis</t>
  </si>
  <si>
    <t>Nicotinate and nicotinamide metabolism</t>
  </si>
  <si>
    <t>Nicotinate and nicot</t>
  </si>
  <si>
    <t>Pantothenate and CoA biosynthesis</t>
  </si>
  <si>
    <t>Pantothenate and CoA</t>
  </si>
  <si>
    <t>Lipoic acid metabolism</t>
  </si>
  <si>
    <t>Lipoic acid metaboli</t>
  </si>
  <si>
    <t>Folate biosynthesis</t>
  </si>
  <si>
    <t>Retinol metabolism</t>
  </si>
  <si>
    <t>Porphyrin and chlorophyll metabolism</t>
  </si>
  <si>
    <t>Porphyrin and chloro</t>
  </si>
  <si>
    <t>Terpenoid backbone biosynthesis</t>
  </si>
  <si>
    <t>Terpenoid backbone b</t>
  </si>
  <si>
    <t>Sulfur metabolism</t>
  </si>
  <si>
    <t>Metabolism of xenobiotics by cytochrome P450</t>
  </si>
  <si>
    <t>Metabolism of xenobi</t>
  </si>
  <si>
    <t>Drug metabolism – other enzymes</t>
  </si>
  <si>
    <t>Drug metabolism</t>
  </si>
  <si>
    <t>cGMP–PKG signaling pathway</t>
  </si>
  <si>
    <t>cGMP–PKG signaling p</t>
  </si>
  <si>
    <t>cAMP signaling pathway</t>
  </si>
  <si>
    <t>cAMP signaling pathw</t>
  </si>
  <si>
    <t>HIF‑1 signaling pathway</t>
  </si>
  <si>
    <t>HIF‑1 signaling path</t>
  </si>
  <si>
    <t>Phosphatidylinositol signaling system</t>
  </si>
  <si>
    <t>Phosphatidylinositol</t>
  </si>
  <si>
    <t>p53 signaling pathway</t>
  </si>
  <si>
    <t>p53 signaling pathwa</t>
  </si>
  <si>
    <t>mTOR signaling pathway</t>
  </si>
  <si>
    <t>mTOR signaling pathw</t>
  </si>
  <si>
    <t>Apoptosis</t>
  </si>
  <si>
    <t>Longevity regulating pathway</t>
  </si>
  <si>
    <t>Longevity regulating</t>
  </si>
  <si>
    <t>Wnt signaling pathway</t>
  </si>
  <si>
    <t>Wnt signaling pathwa</t>
  </si>
  <si>
    <t>Hedgehog signaling pathway</t>
  </si>
  <si>
    <t>Hedgehog signaling p</t>
  </si>
  <si>
    <t>Apelin signaling pat</t>
  </si>
  <si>
    <t>Osteoclast differentiation</t>
  </si>
  <si>
    <t>Osteoclast different</t>
  </si>
  <si>
    <t>Renin–angiotensin system</t>
  </si>
  <si>
    <t>Renin–angiotensin sy</t>
  </si>
  <si>
    <t>Toll‑like receptor signaling pathway</t>
  </si>
  <si>
    <t>Toll‑like receptor s</t>
  </si>
  <si>
    <t>C‑type lectin receptor signaling pathway</t>
  </si>
  <si>
    <t>C‑type lectin recept</t>
  </si>
  <si>
    <t>Natural killer cell mediated cytotoxicity</t>
  </si>
  <si>
    <t xml:space="preserve">Natural killer cell </t>
  </si>
  <si>
    <t>IL‑17 signaling pathway</t>
  </si>
  <si>
    <t>IL‑17 signaling path</t>
  </si>
  <si>
    <t>Th1 and Th2 cell differentiation</t>
  </si>
  <si>
    <t>Th1 and Th2 cell dif</t>
  </si>
  <si>
    <t>Th17 cell differenti</t>
  </si>
  <si>
    <t>T cell receptor signaling pathway</t>
  </si>
  <si>
    <t>T cell receptor sign</t>
  </si>
  <si>
    <t>Leukocyte transendothelial migration</t>
  </si>
  <si>
    <t>Leukocyte transendot</t>
  </si>
  <si>
    <t>Insulin signaling pathway</t>
  </si>
  <si>
    <t>Insulin signaling pa</t>
  </si>
  <si>
    <t>Melanogenesis KEGG</t>
  </si>
  <si>
    <t>Prolactin signaling pathway KEGG</t>
  </si>
  <si>
    <t xml:space="preserve">Prolactin signaling </t>
  </si>
  <si>
    <t>Thyroid hormone signaling pathway KEGG</t>
  </si>
  <si>
    <t>Thyroid hormone sign</t>
  </si>
  <si>
    <t>Oxytocin signaling pathway KEGG</t>
  </si>
  <si>
    <t>Oxytocin signaling p</t>
  </si>
  <si>
    <t>Cortisol synthesis and secretion genome.jp</t>
  </si>
  <si>
    <t>Cortisol synthesis a</t>
  </si>
  <si>
    <t>Parathyroid hormone synthesis, secretion and action genome.jp</t>
  </si>
  <si>
    <t xml:space="preserve">Parathyroid hormone </t>
  </si>
  <si>
    <t>Insulin resistance genome.jp</t>
  </si>
  <si>
    <t>Insulin resistance g</t>
  </si>
  <si>
    <t>AGE‑RAGE signaling pathway in diabetic complications genome.jp</t>
  </si>
  <si>
    <t>AGE‑RAGE signaling p</t>
  </si>
  <si>
    <t>Cushing syndrome KEGG</t>
  </si>
  <si>
    <t>Cushing syndrome KEG</t>
  </si>
  <si>
    <t>Growth hormone synthesis, secretion and action KEGG</t>
  </si>
  <si>
    <t>Growth hormone synth</t>
  </si>
  <si>
    <t>Alcoholic liver disease KEGG</t>
  </si>
  <si>
    <t>Alcoholic liver dise</t>
  </si>
  <si>
    <t>Aldosterone‑regulated sodium reabsorption KEGG</t>
  </si>
  <si>
    <t>Aldosterone‑regulate</t>
  </si>
  <si>
    <t>Parkinson disease genome.jp</t>
  </si>
  <si>
    <t>Parkinson disease ge</t>
  </si>
  <si>
    <t>Epithelial cell signaling in Helicobacter pylori infection KEGG</t>
  </si>
  <si>
    <t>Epithelial cell sign</t>
  </si>
  <si>
    <t>Pathogenic Escherichia coli infection KEGG</t>
  </si>
  <si>
    <t>Pathogenic Escherich</t>
  </si>
  <si>
    <t>Salmonella infection KEGG</t>
  </si>
  <si>
    <t>Salmonella infection</t>
  </si>
  <si>
    <t>Yersinia infection KEGG</t>
  </si>
  <si>
    <t>Yersinia infection K</t>
  </si>
  <si>
    <t>Leishmaniasis</t>
  </si>
  <si>
    <t>Chagas disease (American trypanosomiasis)</t>
  </si>
  <si>
    <t>Chagas disease (Amer</t>
  </si>
  <si>
    <t>African trypanosomiasis</t>
  </si>
  <si>
    <t>African trypanosomia</t>
  </si>
  <si>
    <t>Toxoplasmosis</t>
  </si>
  <si>
    <t>Human cytomegaloviru</t>
  </si>
  <si>
    <t>Influenza A</t>
  </si>
  <si>
    <t>Human papillomavirus infection</t>
  </si>
  <si>
    <t>Human papillomavirus</t>
  </si>
  <si>
    <t>Human T‑cell leukemia virus 1 infection</t>
  </si>
  <si>
    <t>Human T‑cell leukemi</t>
  </si>
  <si>
    <t>Kaposi sarcoma‑associated herpesvirus infection</t>
  </si>
  <si>
    <t>Kaposi sarcoma‑assoc</t>
  </si>
  <si>
    <t>Epstein‑Barr virus infection</t>
  </si>
  <si>
    <t>Epstein‑Barr virus i</t>
  </si>
  <si>
    <t>HIV‑1 infection</t>
  </si>
  <si>
    <t>Pathways in cancer</t>
  </si>
  <si>
    <t>Transcriptional misregulation in cancer</t>
  </si>
  <si>
    <t>Transcriptional misr</t>
  </si>
  <si>
    <t>Colorectal cancer</t>
  </si>
  <si>
    <t>Bladder cancer</t>
  </si>
  <si>
    <t>Renal cell carcinoma</t>
  </si>
  <si>
    <t>Endometrial cancer</t>
  </si>
  <si>
    <t>Prostate cancer</t>
  </si>
  <si>
    <t>Thyroid cancer – Homo sapiens (human) genome.jp</t>
  </si>
  <si>
    <t>Thyroid cancer – Hom</t>
  </si>
  <si>
    <t>Small cell lung cancer – Homo sapiens (human) KEGG</t>
  </si>
  <si>
    <t>Small cell lung canc</t>
  </si>
  <si>
    <t>Breast cancer – Homo sapiens (human) KEGG</t>
  </si>
  <si>
    <t>Breast cancer – Homo</t>
  </si>
  <si>
    <t>Hepatocellular carcinoma – Homo sapiens (human) KEGG</t>
  </si>
  <si>
    <t>Hepatocellular carci</t>
  </si>
  <si>
    <t>Gastric cancer – Homo sapiens (human) KEGG</t>
  </si>
  <si>
    <t>Gastric cancer – Hom</t>
  </si>
  <si>
    <t>Central carbon metabolism in cancer – Homo sapiens (human) KEGG</t>
  </si>
  <si>
    <t>Central carbon metab</t>
  </si>
  <si>
    <t>Choline metabolism in cancer – Homo sapiens (human) KEGG</t>
  </si>
  <si>
    <t>Choline metabolism i</t>
  </si>
  <si>
    <t>PD‑L1 expression and PD‑1 checkpoint pathway in cancer – Homo sapiens (human) KEGG</t>
  </si>
  <si>
    <t>PD‑L1 expression and</t>
  </si>
  <si>
    <t>Inflammatory bowel disease – Homo sapiens (human) KEGG</t>
  </si>
  <si>
    <t>Inflammatory bowel d</t>
  </si>
  <si>
    <t>Diabetic cardiomyopathy – Homo sapiens (human) KEGG</t>
  </si>
  <si>
    <t>Diabetic cardiomyopa</t>
  </si>
  <si>
    <t>Lipid and atherosclerosis – Homo sapiens (human) KEGG</t>
  </si>
  <si>
    <t>Lipid and atheroscle</t>
  </si>
  <si>
    <t>Fluid shear stress and atherosclerosis – Homo sapiens (human) KEGG</t>
  </si>
  <si>
    <t>Fluid shear stress a</t>
  </si>
  <si>
    <t>Proteoglycans in cancer</t>
  </si>
  <si>
    <t>Proteoglycans in can</t>
  </si>
  <si>
    <t>Glycosaminoglycan biosynthesis – chondroitin sulfate / dermatan sulfate</t>
  </si>
  <si>
    <t>Glycosaminoglycan bi</t>
  </si>
  <si>
    <t>Acute myeloid leukemia</t>
  </si>
  <si>
    <t>Acute myeloid leukem</t>
  </si>
  <si>
    <t>Ferroptosis</t>
  </si>
  <si>
    <t>Histidine metabolism</t>
  </si>
  <si>
    <t>α‑Linolenic acid metabolism</t>
  </si>
  <si>
    <t>α‑Linolenic acid met</t>
  </si>
  <si>
    <t>Amphetamine addictio</t>
  </si>
  <si>
    <t>Chemical carcinogenesis</t>
  </si>
  <si>
    <t>Chemical carcinogene</t>
  </si>
  <si>
    <t>Steroid hormone biosynthesis</t>
  </si>
  <si>
    <t>Steroid hormone bios</t>
  </si>
  <si>
    <t>Ubiquinone and other terpenoid‑quinone biosynthesis</t>
  </si>
  <si>
    <t>Ubiquinone and other</t>
  </si>
  <si>
    <t>RIG‑I‑like receptor signaling pathway</t>
  </si>
  <si>
    <t xml:space="preserve">RIG‑I‑like receptor </t>
  </si>
  <si>
    <t>Cytosolic DNA‑sensing pathway</t>
  </si>
  <si>
    <t>Cytosolic DNA‑sensin</t>
  </si>
  <si>
    <t>Hepatitis C</t>
  </si>
  <si>
    <t>Glycosylphosphatidylinositol (GPI)‑anchor biosynthesis</t>
  </si>
  <si>
    <t>Glycosylphosphatidyl</t>
  </si>
  <si>
    <t>Fc epsilon RI signaling pathway</t>
  </si>
  <si>
    <t>Fc epsilon RI signal</t>
  </si>
  <si>
    <t>Arginine biosynthesis</t>
  </si>
  <si>
    <t>Arginine biosynthesi</t>
  </si>
  <si>
    <t>Herpes simplex virus 1 infection</t>
  </si>
  <si>
    <t>Herpes simplex virus</t>
  </si>
  <si>
    <t>AMPK signaling pathway</t>
  </si>
  <si>
    <t>AMPK signaling pathw</t>
  </si>
  <si>
    <t>Measles</t>
  </si>
  <si>
    <t>Coronavirus disease – COVID‑19</t>
  </si>
  <si>
    <t>Coronavirus disease </t>
  </si>
  <si>
    <t>Steroid biosynthesis</t>
  </si>
  <si>
    <t>Oocyte meiosis</t>
  </si>
  <si>
    <t>Thyroid hormone synthesis</t>
  </si>
  <si>
    <t>Thyroid hormone synt</t>
  </si>
  <si>
    <t>Tight junction</t>
  </si>
  <si>
    <t>Biotin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</si>
</sst>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rgb="FFFF0000"/>
      <name val="Aptos Narrow"/>
      <family val="2"/>
    </font>
    <font>
      <b/>
      <sz val="11"/>
      <color rgb="FFFF0000"/>
      <name val="Aptos Narrow"/>
      <family val="2"/>
      <scheme val="minor"/>
    </font>
    <font>
      <sz val="12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11" fontId="0" fillId="0" borderId="0" xfId="0" applyNumberFormat="1"/>
    <xf numFmtId="0" fontId="18" fillId="33" borderId="10" xfId="0" applyFont="1" applyFill="1" applyBorder="1" applyAlignment="1">
      <alignment horizontal="left" vertical="center" wrapText="1" readingOrder="1"/>
    </xf>
    <xf numFmtId="0" fontId="19" fillId="34" borderId="11" xfId="0" applyFont="1" applyFill="1" applyBorder="1" applyAlignment="1">
      <alignment horizontal="left" vertical="center" wrapText="1" readingOrder="1"/>
    </xf>
    <xf numFmtId="0" fontId="19" fillId="34" borderId="11" xfId="0" applyFont="1" applyFill="1" applyBorder="1" applyAlignment="1">
      <alignment horizontal="right" vertical="center" wrapText="1" readingOrder="1"/>
    </xf>
    <xf numFmtId="0" fontId="19" fillId="35" borderId="12" xfId="0" applyFont="1" applyFill="1" applyBorder="1" applyAlignment="1">
      <alignment horizontal="left" vertical="center" wrapText="1" readingOrder="1"/>
    </xf>
    <xf numFmtId="0" fontId="19" fillId="35" borderId="12" xfId="0" applyFont="1" applyFill="1" applyBorder="1" applyAlignment="1">
      <alignment horizontal="right" vertical="center" wrapText="1" readingOrder="1"/>
    </xf>
    <xf numFmtId="0" fontId="19" fillId="34" borderId="12" xfId="0" applyFont="1" applyFill="1" applyBorder="1" applyAlignment="1">
      <alignment horizontal="left" vertical="center" wrapText="1" readingOrder="1"/>
    </xf>
    <xf numFmtId="0" fontId="19" fillId="34" borderId="12" xfId="0" applyFont="1" applyFill="1" applyBorder="1" applyAlignment="1">
      <alignment horizontal="right" vertical="center" wrapText="1" readingOrder="1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0" xfId="42" applyAlignment="1">
      <alignment vertical="center" wrapText="1"/>
    </xf>
    <xf numFmtId="0" fontId="16" fillId="0" borderId="0" xfId="0" pivotButton="1" applyFont="1"/>
    <xf numFmtId="0" fontId="21" fillId="34" borderId="12" xfId="0" applyFont="1" applyFill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21" fillId="34" borderId="11" xfId="0" applyFont="1" applyFill="1" applyBorder="1" applyAlignment="1">
      <alignment horizontal="left" vertical="center" wrapText="1" readingOrder="1"/>
    </xf>
    <xf numFmtId="0" fontId="22" fillId="0" borderId="0" xfId="0" applyFont="1"/>
    <xf numFmtId="0" fontId="14" fillId="0" borderId="0" xfId="0" applyFont="1"/>
    <xf numFmtId="0" fontId="21" fillId="35" borderId="12" xfId="0" applyFont="1" applyFill="1" applyBorder="1" applyAlignment="1">
      <alignment horizontal="left" vertical="center" wrapText="1" readingOrder="1"/>
    </xf>
    <xf numFmtId="0" fontId="23" fillId="35" borderId="12" xfId="0" applyFont="1" applyFill="1" applyBorder="1" applyAlignment="1">
      <alignment horizontal="left" vertical="center" wrapText="1" readingOrder="1"/>
    </xf>
    <xf numFmtId="0" fontId="23" fillId="34" borderId="11" xfId="0" applyFont="1" applyFill="1" applyBorder="1" applyAlignment="1">
      <alignment horizontal="left" vertical="center" wrapText="1" readingOrder="1"/>
    </xf>
    <xf numFmtId="0" fontId="23" fillId="34" borderId="12" xfId="0" applyFont="1" applyFill="1" applyBorder="1" applyAlignment="1">
      <alignment horizontal="left" vertical="center" wrapText="1" readingOrder="1"/>
    </xf>
    <xf numFmtId="164" fontId="0" fillId="0" borderId="0" xfId="0" applyNumberFormat="1"/>
    <xf numFmtId="165" fontId="16" fillId="0" borderId="0" xfId="43" applyNumberFormat="1" applyFont="1"/>
    <xf numFmtId="165" fontId="0" fillId="0" borderId="0" xfId="43" applyNumberFormat="1" applyFont="1"/>
    <xf numFmtId="1" fontId="0" fillId="0" borderId="0" xfId="0" applyNumberFormat="1"/>
    <xf numFmtId="0" fontId="19" fillId="34" borderId="11" xfId="0" applyFont="1" applyFill="1" applyBorder="1" applyAlignment="1">
      <alignment horizontal="center" vertical="center" wrapText="1" readingOrder="1"/>
    </xf>
    <xf numFmtId="0" fontId="19" fillId="35" borderId="12" xfId="0" applyFont="1" applyFill="1" applyBorder="1" applyAlignment="1">
      <alignment horizontal="center" vertical="center" wrapText="1" readingOrder="1"/>
    </xf>
    <xf numFmtId="0" fontId="19" fillId="34" borderId="12" xfId="0" applyFont="1" applyFill="1" applyBorder="1" applyAlignment="1">
      <alignment horizontal="center" vertical="center" wrapText="1" readingOrder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82.975928009262" createdVersion="8" refreshedVersion="8" minRefreshableVersion="3" recordCount="458" xr:uid="{F64AFB4E-4B9D-4179-BDB8-BBE50BBFDE73}">
  <cacheSource type="worksheet">
    <worksheetSource ref="A1:I459" sheet="Covid_Pasc_result"/>
  </cacheSource>
  <cacheFields count="8">
    <cacheField name="pathway_source" numFmtId="0">
      <sharedItems count="132">
        <s v="hsa00010"/>
        <s v="hsa00020"/>
        <s v="hsa00030"/>
        <s v="hsa00051"/>
        <s v="hsa00052"/>
        <s v="hsa00061"/>
        <s v="hsa00062"/>
        <s v="hsa00071"/>
        <s v="hsa00120"/>
        <s v="hsa00230"/>
        <s v="hsa00240"/>
        <s v="hsa00250"/>
        <s v="hsa00260"/>
        <s v="hsa00270"/>
        <s v="hsa00280"/>
        <s v="hsa00310"/>
        <s v="hsa00330"/>
        <s v="hsa00350"/>
        <s v="hsa00360"/>
        <s v="hsa00380"/>
        <s v="hsa00410"/>
        <s v="hsa00440"/>
        <s v="hsa00450"/>
        <s v="hsa00480"/>
        <s v="hsa00500"/>
        <s v="hsa00510"/>
        <s v="hsa00512"/>
        <s v="hsa00513"/>
        <s v="hsa00515"/>
        <s v="hsa00520"/>
        <s v="hsa00531"/>
        <s v="hsa00534"/>
        <s v="hsa00541"/>
        <s v="hsa00561"/>
        <s v="hsa00562"/>
        <s v="hsa00564"/>
        <s v="hsa00565"/>
        <s v="hsa00590"/>
        <s v="hsa00591"/>
        <s v="hsa00600"/>
        <s v="hsa00601"/>
        <s v="hsa00603"/>
        <s v="hsa00604"/>
        <s v="hsa00620"/>
        <s v="hsa00630"/>
        <s v="hsa00640"/>
        <s v="hsa00650"/>
        <s v="hsa00670"/>
        <s v="hsa00750"/>
        <s v="hsa00760"/>
        <s v="hsa00770"/>
        <s v="hsa00785"/>
        <s v="hsa00790"/>
        <s v="hsa00830"/>
        <s v="hsa00860"/>
        <s v="hsa00900"/>
        <s v="hsa00920"/>
        <s v="hsa00980"/>
        <s v="hsa00983"/>
        <s v="hsa04022"/>
        <s v="hsa04024"/>
        <s v="hsa04066"/>
        <s v="hsa04070"/>
        <s v="hsa04115"/>
        <s v="hsa04137"/>
        <s v="hsa04148"/>
        <s v="hsa04210"/>
        <s v="hsa04211"/>
        <s v="hsa04310"/>
        <s v="hsa04340"/>
        <s v="hsa04371"/>
        <s v="hsa04380"/>
        <s v="hsa04510"/>
        <s v="hsa04614"/>
        <s v="hsa04620"/>
        <s v="hsa04625"/>
        <s v="hsa04650"/>
        <s v="hsa04657"/>
        <s v="hsa04658"/>
        <s v="hsa04659"/>
        <s v="hsa04660"/>
        <s v="hsa04670"/>
        <s v="hsa04910"/>
        <s v="hsa04916"/>
        <s v="hsa04917"/>
        <s v="hsa04919"/>
        <s v="hsa04921"/>
        <s v="hsa04927"/>
        <s v="hsa04928"/>
        <s v="hsa04931"/>
        <s v="hsa04933"/>
        <s v="hsa04934"/>
        <s v="hsa04935"/>
        <s v="hsa04936"/>
        <s v="hsa04960"/>
        <s v="hsa05012"/>
        <s v="hsa05120"/>
        <s v="hsa05130"/>
        <s v="hsa05132"/>
        <s v="hsa05135"/>
        <s v="hsa05140"/>
        <s v="hsa05142"/>
        <s v="hsa05143"/>
        <s v="hsa05145"/>
        <s v="hsa05152"/>
        <s v="hsa05161"/>
        <s v="hsa05163"/>
        <s v="hsa05164"/>
        <s v="hsa05165"/>
        <s v="hsa05166"/>
        <s v="hsa05167"/>
        <s v="hsa05169"/>
        <s v="hsa05170"/>
        <s v="hsa05200"/>
        <s v="hsa05202"/>
        <s v="hsa05208"/>
        <s v="hsa05210"/>
        <s v="hsa05211"/>
        <s v="hsa05213"/>
        <s v="hsa05215"/>
        <s v="hsa05216"/>
        <s v="hsa05222"/>
        <s v="hsa05224"/>
        <s v="hsa05225"/>
        <s v="hsa05226"/>
        <s v="hsa05230"/>
        <s v="hsa05231"/>
        <s v="hsa05235"/>
        <s v="hsa05321"/>
        <s v="hsa05415"/>
        <s v="hsa05417"/>
        <s v="hsa05418"/>
      </sharedItems>
    </cacheField>
    <cacheField name="PW_Name" numFmtId="0">
      <sharedItems containsNonDate="0" containsString="0" containsBlank="1"/>
    </cacheField>
    <cacheField name="predictor" numFmtId="0">
      <sharedItems count="246">
        <s v="ALDOA"/>
        <s v="GAPDH"/>
        <s v="PDHA1"/>
        <s v="ACSS2"/>
        <s v="GALM"/>
        <s v="DLD"/>
        <s v="PGLS"/>
        <s v="PGM2"/>
        <s v="TKT"/>
        <s v="RBKS"/>
        <s v="FBP1"/>
        <s v="TALDO1"/>
        <s v="SHPK"/>
        <s v="SORD"/>
        <s v="HK1"/>
        <s v="PFKL"/>
        <s v="TKFC"/>
        <s v="TPI1"/>
        <s v="KHK"/>
        <s v="GLA"/>
        <s v="FASN"/>
        <s v="MCAT"/>
        <s v="OXSM"/>
        <s v="ACACA"/>
        <s v="ECHS1"/>
        <s v="MECR"/>
        <s v="ACADM"/>
        <s v="CYP7B1"/>
        <s v="ATIC"/>
        <s v="CANT1"/>
        <s v="ADK"/>
        <s v="RRM2B"/>
        <s v="ITPA"/>
        <s v="NT5C1B-RDH14"/>
        <s v="GUK1"/>
        <s v="PRUNE1"/>
        <s v="GUCY1A2"/>
        <s v="ADSL"/>
        <s v="PDE7B"/>
        <s v="NUDT16"/>
        <s v="NME6"/>
        <s v="ENPP1"/>
        <s v="CAD"/>
        <s v="UCKL1"/>
        <s v="CMPK2"/>
        <s v="CTPS1"/>
        <s v="DUT"/>
        <s v="TYMP"/>
        <s v="DTYMK"/>
        <s v="PPAT"/>
        <s v="NIT2"/>
        <s v="GAMT"/>
        <s v="MTR"/>
        <s v="AHCYL1"/>
        <s v="MAT2B"/>
        <s v="PSAT1"/>
        <s v="AMD1"/>
        <s v="MCCC1"/>
        <s v="ACAT1"/>
        <s v="ALDH6A1"/>
        <s v="ACAD8"/>
        <s v="ACSF3"/>
        <s v="AACS"/>
        <s v="EHMT2"/>
        <s v="CAMKMT"/>
        <s v="DHTKD1"/>
        <s v="ALDH2"/>
        <s v="AOC1"/>
        <s v="OAT"/>
        <s v="ARG1"/>
        <s v="MIF"/>
        <s v="KMO"/>
        <s v="HAAO"/>
        <s v="ABAT"/>
        <s v="CARNS1"/>
        <s v="UPB1"/>
        <s v="CNDP2"/>
        <s v="AOC2"/>
        <s v="PCYT1A"/>
        <s v="CTH"/>
        <s v="SEPHS2"/>
        <s v="GSS"/>
        <s v="LANCL1"/>
        <s v="CHAC2"/>
        <s v="MGAM"/>
        <s v="DOLPP1"/>
        <s v="ALG6"/>
        <s v="ALG2"/>
        <s v="ALG12"/>
        <s v="FUT8"/>
        <s v="B4GALT1"/>
        <s v="ALG8"/>
        <s v="POC1B-GALNT4"/>
        <s v="GCNT1"/>
        <s v="MAN2A2"/>
        <s v="B4GALNT3"/>
        <s v="POMT1"/>
        <s v="B4GAT1"/>
        <s v="NAGK"/>
        <s v="GNPNAT1"/>
        <s v="AMDHD2"/>
        <s v="GNPDA1"/>
        <s v="FCSK"/>
        <s v="IDUA"/>
        <s v="EXTL2"/>
        <s v="NANS"/>
        <s v="NANP"/>
        <s v="AKR1B1"/>
        <s v="CEL"/>
        <s v="MGLL"/>
        <s v="PLCD3"/>
        <s v="PIK3C2A"/>
        <s v="INPP4A"/>
        <s v="ITPK1"/>
        <s v="IMPA1"/>
        <s v="PLD4"/>
        <s v="PGS1"/>
        <s v="PLAAT3"/>
        <s v="LPCAT3"/>
        <s v="CEPT1"/>
        <s v="PLA2G4B"/>
        <s v="PTDSS2"/>
        <s v="LYPLA1"/>
        <s v="SAMD8"/>
        <s v="PAFAH1B1"/>
        <s v="GDPD1"/>
        <s v="PTGES3"/>
        <s v="ALOX15"/>
        <s v="ALOX12"/>
        <s v="ALOX15B"/>
        <s v="GPX4"/>
        <s v="SGPP2"/>
        <s v="GBA1"/>
        <s v="UGT8"/>
        <s v="KDSR"/>
        <s v="PLPP1"/>
        <s v="SGMS2"/>
        <s v="B4GALT6"/>
        <s v="GALC"/>
        <s v="B4GALT2"/>
        <s v="GCNT2"/>
        <s v="B4GALT4"/>
        <s v="B4GALT3"/>
        <s v="NAGA"/>
        <s v="ST8SIA5"/>
        <s v="HEXA"/>
        <s v="GLO1"/>
        <s v="LDHD"/>
        <s v="CS"/>
        <s v="ACSS3"/>
        <s v="ACOX1"/>
        <s v="OXCT1"/>
        <s v="BDH1"/>
        <s v="MTHFD2"/>
        <s v="MTHFD1"/>
        <s v="MTHFD1L"/>
        <s v="PHOSPHO2"/>
        <s v="PNPO"/>
        <s v="SARM1"/>
        <s v="NADSYN1"/>
        <s v="NUDT13"/>
        <s v="NMNAT2"/>
        <s v="QPRT"/>
        <s v="SIRT2"/>
        <s v="NNMT"/>
        <s v="COASY"/>
        <s v="OGDH"/>
        <s v="GCH1"/>
        <s v="RETSAT"/>
        <s v="UROD"/>
        <s v="PPOX"/>
        <s v="COX15"/>
        <s v="HMOX1"/>
        <s v="HCCS"/>
        <s v="CHURC1-FNTB"/>
        <s v="ZMPSTE24"/>
        <s v="RCE1"/>
        <s v="FDPS"/>
        <s v="ETHE1"/>
        <s v="EPHX1"/>
        <s v="GSTO2"/>
        <s v="TPMT"/>
        <s v="HPRT1"/>
        <s v="IMPDH1"/>
        <s v="CMPK1"/>
        <s v="NFATC1"/>
        <s v="CREB3"/>
        <s v="STAT3"/>
        <s v="P3R3URF-PIK3R3"/>
        <s v="PTEN"/>
        <s v="INPP5B"/>
        <s v="PIP5K1C"/>
        <s v="MTM1"/>
        <s v="INPP5A"/>
        <s v="INPP1"/>
        <s v="TP53"/>
        <s v="ATF4"/>
        <s v="CEBPB"/>
        <s v="NFKB1"/>
        <s v="JUN"/>
        <s v="PRKACA"/>
        <s v="LEF1"/>
        <s v="GLI1"/>
        <s v="MAPK1"/>
        <s v="PRKAG2"/>
        <s v="FOS"/>
        <s v="PPARG"/>
        <s v="ATP2A1"/>
        <s v="CTNNB1"/>
        <s v="CTSG"/>
        <s v="MME"/>
        <s v="ANPEP"/>
        <s v="STAT4"/>
        <s v="TBX21"/>
        <s v="STAT6"/>
        <s v="MAPK14"/>
        <s v="MTOR"/>
        <s v="SMAD2"/>
        <s v="RUNX1"/>
        <s v="GATA3"/>
        <s v="GNAI1"/>
        <s v="FOXO1"/>
        <s v="MITF"/>
        <s v="STAT1"/>
        <s v="THRB"/>
        <s v="SP1"/>
        <s v="MLXIP"/>
        <s v="STAT5A"/>
        <s v="NR3C2"/>
        <s v="NFE2L2"/>
        <s v="FCGR3B"/>
        <s v="TNF"/>
        <s v="IFNG"/>
        <s v="RFX5"/>
        <s v="MAPK8"/>
        <s v="IRF9"/>
        <s v="TCF3"/>
        <s v="IRF3"/>
        <s v="EPAS1"/>
        <s v="SPI1"/>
        <s v="CEBPA"/>
        <s v="RPS6KA5"/>
        <s v="MYC"/>
        <s v="HIF1A"/>
        <s v="PPARA"/>
        <s v="KLF2"/>
      </sharedItems>
    </cacheField>
    <cacheField name="outcome" numFmtId="0">
      <sharedItems/>
    </cacheField>
    <cacheField name="beta_int" numFmtId="0">
      <sharedItems containsSemiMixedTypes="0" containsString="0" containsNumber="1" minValue="-2.0556369229999998" maxValue="2.0823367319999999"/>
    </cacheField>
    <cacheField name="abs(beta)" numFmtId="0">
      <sharedItems containsSemiMixedTypes="0" containsString="0" containsNumber="1" minValue="1.55567E-17" maxValue="2.0823367319999999"/>
    </cacheField>
    <cacheField name="p_value" numFmtId="0">
      <sharedItems containsSemiMixedTypes="0" containsString="0" containsNumber="1" minValue="4.8499999999999998E-10" maxValue="4.9794259E-2"/>
    </cacheField>
    <cacheField name="adj_p_value" numFmtId="0">
      <sharedItems containsSemiMixedTypes="0" containsString="0" containsNumber="1" minValue="1.5799999999999999E-6" maxValue="0.35486563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83.419065624999" createdVersion="8" refreshedVersion="8" minRefreshableVersion="3" recordCount="409" xr:uid="{A337173D-2427-4670-8AA6-7153EF5481A9}">
  <cacheSource type="worksheet">
    <worksheetSource ref="A1:I410" sheet="Negative_Pasc_result"/>
  </cacheSource>
  <cacheFields count="9">
    <cacheField name="pathway_source" numFmtId="0">
      <sharedItems count="125">
        <s v="hsa00270"/>
        <s v="hsa00120"/>
        <s v="hsa00480"/>
        <s v="hsa00240"/>
        <s v="hsa00330"/>
        <s v="hsa00620"/>
        <s v="hsa00510"/>
        <s v="hsa00260"/>
        <s v="hsa00380"/>
        <s v="hsa00520"/>
        <s v="hsa00590"/>
        <s v="hsa00770"/>
        <s v="hsa00541"/>
        <s v="hsa00670"/>
        <s v="hsa00230"/>
        <s v="hsa00983"/>
        <s v="hsa05205"/>
        <s v="hsa00532"/>
        <s v="hsa00604"/>
        <s v="hsa04659"/>
        <s v="hsa05152"/>
        <s v="hsa00280"/>
        <s v="hsa05200"/>
        <s v="hsa05221"/>
        <s v="hsa04218"/>
        <s v="hsa05224"/>
        <s v="hsa04933"/>
        <s v="hsa04657"/>
        <s v="hsa05161"/>
        <s v="hsa04935"/>
        <s v="hsa00340"/>
        <s v="hsa00562"/>
        <s v="hsa00640"/>
        <s v="hsa00601"/>
        <s v="hsa00512"/>
        <s v="hsa04927"/>
        <s v="hsa04934"/>
        <s v="hsa00513"/>
        <s v="hsa00515"/>
        <s v="hsa00592"/>
        <s v="hsa05031"/>
        <s v="hsa05034"/>
        <s v="hsa00410"/>
        <s v="hsa00010"/>
        <s v="hsa04658"/>
        <s v="hsa05120"/>
        <s v="hsa00900"/>
        <s v="hsa05231"/>
        <s v="hsa04614"/>
        <s v="hsa05207"/>
        <s v="hsa05167"/>
        <s v="hsa05418"/>
        <s v="hsa00760"/>
        <s v="hsa05169"/>
        <s v="hsa00071"/>
        <s v="hsa00450"/>
        <s v="hsa05211"/>
        <s v="hsa00250"/>
        <s v="hsa05321"/>
        <s v="hsa00052"/>
        <s v="hsa00020"/>
        <s v="hsa00140"/>
        <s v="hsa04660"/>
        <s v="hsa05202"/>
        <s v="hsa00130"/>
        <s v="hsa00310"/>
        <s v="hsa00561"/>
        <s v="hsa05143"/>
        <s v="hsa04928"/>
        <s v="hsa04070"/>
        <s v="hsa00600"/>
        <s v="hsa04137"/>
        <s v="hsa04024"/>
        <s v="hsa00061"/>
        <s v="hsa04620"/>
        <s v="hsa05142"/>
        <s v="hsa00564"/>
        <s v="hsa04211"/>
        <s v="hsa04213"/>
        <s v="hsa05417"/>
        <s v="hsa00830"/>
        <s v="hsa04919"/>
        <s v="hsa04921"/>
        <s v="hsa00785"/>
        <s v="hsa05165"/>
        <s v="hsa04622"/>
        <s v="hsa04623"/>
        <s v="hsa05160"/>
        <s v="hsa05164"/>
        <s v="hsa00563"/>
        <s v="hsa05230"/>
        <s v="hsa00062"/>
        <s v="hsa04664"/>
        <s v="hsa00220"/>
        <s v="hsa05168"/>
        <s v="hsa00565"/>
        <s v="hsa04152"/>
        <s v="hsa04936"/>
        <s v="hsa00030"/>
        <s v="hsa04371"/>
        <s v="hsa00790"/>
        <s v="hsa05162"/>
        <s v="hsa05171"/>
        <s v="hsa05210"/>
        <s v="hsa00100"/>
        <s v="hsa04210"/>
        <s v="hsa00980"/>
        <s v="hsa00603"/>
        <s v="hsa04114"/>
        <s v="hsa00591"/>
        <s v="hsa04916"/>
        <s v="hsa04115"/>
        <s v="hsa05166"/>
        <s v="hsa00860"/>
        <s v="hsa04960"/>
        <s v="hsa00051"/>
        <s v="hsa04918"/>
        <s v="hsa00630"/>
        <s v="hsa00650"/>
        <s v="hsa00350"/>
        <s v="hsa05208"/>
        <s v="hsa04530"/>
        <s v="hsa00780"/>
        <s v="hsa05235"/>
        <s v="hsa00440"/>
      </sharedItems>
    </cacheField>
    <cacheField name="PW_Name" numFmtId="0">
      <sharedItems/>
    </cacheField>
    <cacheField name="predictor" numFmtId="0">
      <sharedItems/>
    </cacheField>
    <cacheField name="outcome" numFmtId="0">
      <sharedItems/>
    </cacheField>
    <cacheField name="beta_int" numFmtId="0">
      <sharedItems containsSemiMixedTypes="0" containsString="0" containsNumber="1" minValue="-2.5654776099999999" maxValue="2.3421318090000001"/>
    </cacheField>
    <cacheField name="abs(beta)" numFmtId="0">
      <sharedItems containsSemiMixedTypes="0" containsString="0" containsNumber="1" minValue="5.3916299999999997E-17" maxValue="2.5654776099999999"/>
    </cacheField>
    <cacheField name="p_value" numFmtId="0">
      <sharedItems containsSemiMixedTypes="0" containsString="0" containsNumber="1" minValue="2.19E-14" maxValue="4.9687668999999997E-2"/>
    </cacheField>
    <cacheField name="pathway_source2" numFmtId="0">
      <sharedItems/>
    </cacheField>
    <cacheField name="adj_p_value" numFmtId="0">
      <sharedItems containsSemiMixedTypes="0" containsString="0" containsNumber="1" minValue="7.1399999999999994E-11" maxValue="0.3965294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x v="0"/>
    <m/>
    <x v="0"/>
    <s v="PFKL"/>
    <n v="0.32857048799999999"/>
    <n v="0.32857048799999999"/>
    <n v="9.2717790000000008E-3"/>
    <n v="0.19850409899999999"/>
  </r>
  <r>
    <x v="0"/>
    <m/>
    <x v="1"/>
    <s v="PGK1"/>
    <n v="-0.15913962400000001"/>
    <n v="0.15913962400000001"/>
    <n v="2.3048360000000002E-3"/>
    <n v="0.10805922900000001"/>
  </r>
  <r>
    <x v="0"/>
    <m/>
    <x v="2"/>
    <s v="DLD"/>
    <n v="0.206981469"/>
    <n v="0.206981469"/>
    <n v="2.1460353000000001E-2"/>
    <n v="0.26633685899999998"/>
  </r>
  <r>
    <x v="0"/>
    <m/>
    <x v="0"/>
    <s v="TPI1"/>
    <n v="-0.131805488"/>
    <n v="0.131805488"/>
    <n v="2.8603341000000001E-2"/>
    <n v="0.29377563800000001"/>
  </r>
  <r>
    <x v="0"/>
    <m/>
    <x v="0"/>
    <s v="GAPDH"/>
    <n v="-0.22067289900000001"/>
    <n v="0.22067289900000001"/>
    <n v="3.9552160000000001E-3"/>
    <n v="0.13665022499999999"/>
  </r>
  <r>
    <x v="0"/>
    <m/>
    <x v="3"/>
    <s v="ALDH2"/>
    <n v="-0.71133454900000004"/>
    <n v="0.71133454900000004"/>
    <n v="9.3700000000000001E-6"/>
    <n v="1.0191278999999999E-2"/>
  </r>
  <r>
    <x v="0"/>
    <m/>
    <x v="4"/>
    <s v="ADPGK"/>
    <n v="9.5022907000000004E-2"/>
    <n v="9.5022907000000004E-2"/>
    <n v="1.2147130000000001E-3"/>
    <n v="7.3422670999999995E-2"/>
  </r>
  <r>
    <x v="1"/>
    <m/>
    <x v="5"/>
    <s v="PDHA1"/>
    <n v="0.31287770199999998"/>
    <n v="0.31287770199999998"/>
    <n v="2.0453388999999999E-2"/>
    <n v="0.25818887899999998"/>
  </r>
  <r>
    <x v="2"/>
    <m/>
    <x v="6"/>
    <s v="IDNK"/>
    <n v="-0.33754366800000002"/>
    <n v="0.33754366800000002"/>
    <n v="4.0006861999999997E-2"/>
    <n v="0.32975352800000002"/>
  </r>
  <r>
    <x v="2"/>
    <m/>
    <x v="7"/>
    <s v="RBKS"/>
    <n v="-0.25744497599999999"/>
    <n v="0.25744497599999999"/>
    <n v="2.3597416E-2"/>
    <n v="0.27805764100000002"/>
  </r>
  <r>
    <x v="2"/>
    <m/>
    <x v="8"/>
    <s v="PFKL"/>
    <n v="0.23773491999999999"/>
    <n v="0.23773491999999999"/>
    <n v="1.4088391E-2"/>
    <n v="0.22977756199999999"/>
  </r>
  <r>
    <x v="2"/>
    <m/>
    <x v="8"/>
    <s v="FBP1"/>
    <n v="-0.24595028799999999"/>
    <n v="0.24595028799999999"/>
    <n v="4.8654856000000003E-2"/>
    <n v="0.35486563799999998"/>
  </r>
  <r>
    <x v="2"/>
    <m/>
    <x v="0"/>
    <s v="PFKL"/>
    <n v="0.32857048799999999"/>
    <n v="0.32857048799999999"/>
    <n v="9.2717790000000008E-3"/>
    <n v="0.19850409899999999"/>
  </r>
  <r>
    <x v="2"/>
    <m/>
    <x v="9"/>
    <s v="PGM2"/>
    <n v="-0.240345157"/>
    <n v="0.240345157"/>
    <n v="2.8188733000000001E-2"/>
    <n v="0.29116463300000001"/>
  </r>
  <r>
    <x v="2"/>
    <m/>
    <x v="10"/>
    <s v="TALDO1"/>
    <n v="-0.223077471"/>
    <n v="0.223077471"/>
    <n v="1.3448804E-2"/>
    <n v="0.22437264500000001"/>
  </r>
  <r>
    <x v="2"/>
    <m/>
    <x v="11"/>
    <s v="TKT"/>
    <n v="-0.17989344500000001"/>
    <n v="0.17989344500000001"/>
    <n v="3.518569E-3"/>
    <n v="0.13200700900000001"/>
  </r>
  <r>
    <x v="2"/>
    <m/>
    <x v="6"/>
    <s v="PGD"/>
    <n v="-0.402901703"/>
    <n v="0.402901703"/>
    <n v="3.7605629000000002E-2"/>
    <n v="0.32216475900000002"/>
  </r>
  <r>
    <x v="2"/>
    <m/>
    <x v="12"/>
    <s v="TKT"/>
    <n v="0.30876642199999998"/>
    <n v="0.30876642199999998"/>
    <n v="1.2625203E-2"/>
    <n v="0.22281664500000001"/>
  </r>
  <r>
    <x v="3"/>
    <m/>
    <x v="13"/>
    <s v="KHK"/>
    <n v="-0.33273775999999999"/>
    <n v="0.33273775999999999"/>
    <n v="2.5314624000000001E-2"/>
    <n v="0.28878959799999998"/>
  </r>
  <r>
    <x v="3"/>
    <m/>
    <x v="14"/>
    <s v="PFKFB1"/>
    <n v="-0.25468455200000001"/>
    <n v="0.25468455200000001"/>
    <n v="3.9714024000000001E-2"/>
    <n v="0.32900145800000002"/>
  </r>
  <r>
    <x v="3"/>
    <m/>
    <x v="15"/>
    <s v="ALDOA"/>
    <n v="0.203632697"/>
    <n v="0.203632697"/>
    <n v="1.9231695E-2"/>
    <n v="0.25517176200000002"/>
  </r>
  <r>
    <x v="3"/>
    <m/>
    <x v="0"/>
    <s v="TKFC"/>
    <n v="0.27321941900000002"/>
    <n v="0.27321941900000002"/>
    <n v="1.1214394000000001E-2"/>
    <n v="0.212812686"/>
  </r>
  <r>
    <x v="3"/>
    <m/>
    <x v="16"/>
    <s v="ALDOA"/>
    <n v="0.28090067200000002"/>
    <n v="0.28090067200000002"/>
    <n v="1.0712508000000001E-2"/>
    <n v="0.208057667"/>
  </r>
  <r>
    <x v="3"/>
    <m/>
    <x v="17"/>
    <s v="TKFC"/>
    <n v="0.422031832"/>
    <n v="0.422031832"/>
    <n v="4.043736E-3"/>
    <n v="0.13665022499999999"/>
  </r>
  <r>
    <x v="3"/>
    <m/>
    <x v="18"/>
    <s v="ALDOA"/>
    <n v="0.131400668"/>
    <n v="0.131400668"/>
    <n v="9.5992200000000003E-3"/>
    <n v="0.20084521599999999"/>
  </r>
  <r>
    <x v="4"/>
    <m/>
    <x v="19"/>
    <s v="GLB1"/>
    <n v="-0.173206312"/>
    <n v="0.173206312"/>
    <n v="7.5719899999999996E-4"/>
    <n v="5.6170425000000003E-2"/>
  </r>
  <r>
    <x v="4"/>
    <m/>
    <x v="4"/>
    <s v="GLB1"/>
    <n v="8.0512091999999993E-2"/>
    <n v="8.0512091999999993E-2"/>
    <n v="1.5155106999999999E-2"/>
    <n v="0.23038882099999999"/>
  </r>
  <r>
    <x v="5"/>
    <m/>
    <x v="20"/>
    <s v="ACACA"/>
    <n v="-9.0478637000000001E-2"/>
    <n v="9.0478637000000001E-2"/>
    <n v="4.0266273999999998E-2"/>
    <n v="0.33046330000000002"/>
  </r>
  <r>
    <x v="5"/>
    <m/>
    <x v="21"/>
    <s v="ACACA"/>
    <n v="-0.15202301100000001"/>
    <n v="0.15202301100000001"/>
    <n v="2.2634215999999999E-2"/>
    <n v="0.27761394"/>
  </r>
  <r>
    <x v="5"/>
    <m/>
    <x v="20"/>
    <s v="MECR"/>
    <n v="-0.16250598899999999"/>
    <n v="0.16250598899999999"/>
    <n v="2.0645618000000001E-2"/>
    <n v="0.25818887899999998"/>
  </r>
  <r>
    <x v="5"/>
    <m/>
    <x v="22"/>
    <s v="MECR"/>
    <n v="-0.22541512799999999"/>
    <n v="0.22541512799999999"/>
    <n v="2.6053291999999999E-2"/>
    <n v="0.29035814700000001"/>
  </r>
  <r>
    <x v="5"/>
    <m/>
    <x v="23"/>
    <s v="MCAT"/>
    <n v="-0.311688619"/>
    <n v="0.311688619"/>
    <n v="3.5729862000000001E-2"/>
    <n v="0.31350072699999998"/>
  </r>
  <r>
    <x v="5"/>
    <m/>
    <x v="22"/>
    <s v="CBR4"/>
    <n v="0.12534997"/>
    <n v="0.12534997"/>
    <n v="2.9564955E-2"/>
    <n v="0.29968948200000001"/>
  </r>
  <r>
    <x v="5"/>
    <m/>
    <x v="22"/>
    <s v="HSD17B8"/>
    <n v="-0.40713909399999998"/>
    <n v="0.40713909399999998"/>
    <n v="1.0596431E-2"/>
    <n v="0.208057667"/>
  </r>
  <r>
    <x v="6"/>
    <m/>
    <x v="24"/>
    <s v="HADH"/>
    <n v="-0.19441686699999999"/>
    <n v="0.19441686699999999"/>
    <n v="6.1355489999999997E-3"/>
    <n v="0.165613279"/>
  </r>
  <r>
    <x v="6"/>
    <m/>
    <x v="25"/>
    <s v="ECHS1"/>
    <n v="-0.21102875099999999"/>
    <n v="0.21102875099999999"/>
    <n v="2.2960877000000001E-2"/>
    <n v="0.27761394"/>
  </r>
  <r>
    <x v="6"/>
    <m/>
    <x v="24"/>
    <s v="MECR"/>
    <n v="-0.18139633199999999"/>
    <n v="0.18139633199999999"/>
    <n v="3.7357038000000002E-2"/>
    <n v="0.32087729799999998"/>
  </r>
  <r>
    <x v="6"/>
    <m/>
    <x v="25"/>
    <s v="PPT1"/>
    <n v="0.25328888799999999"/>
    <n v="0.25328888799999999"/>
    <n v="2.3874703000000001E-2"/>
    <n v="0.28031306499999997"/>
  </r>
  <r>
    <x v="7"/>
    <m/>
    <x v="26"/>
    <s v="CPT2"/>
    <n v="-0.15273735999999999"/>
    <n v="0.15273735999999999"/>
    <n v="3.6339530000000002E-2"/>
    <n v="0.31629926600000002"/>
  </r>
  <r>
    <x v="7"/>
    <m/>
    <x v="26"/>
    <s v="ACAT1"/>
    <n v="0.17444916499999999"/>
    <n v="0.17444916499999999"/>
    <n v="1.5276799000000001E-2"/>
    <n v="0.23084941"/>
  </r>
  <r>
    <x v="7"/>
    <m/>
    <x v="24"/>
    <s v="ACOX1"/>
    <n v="0.208883864"/>
    <n v="0.208883864"/>
    <n v="2.9233451000000001E-2"/>
    <n v="0.29725228599999998"/>
  </r>
  <r>
    <x v="8"/>
    <m/>
    <x v="27"/>
    <s v="HSD3B7"/>
    <n v="0.19390116700000001"/>
    <n v="0.19390116700000001"/>
    <n v="3.9977540000000001E-3"/>
    <n v="0.13665022499999999"/>
  </r>
  <r>
    <x v="9"/>
    <m/>
    <x v="28"/>
    <s v="NT5C1B-RDH14"/>
    <n v="0.21128081500000001"/>
    <n v="0.21128081500000001"/>
    <n v="3.8970008E-2"/>
    <n v="0.32614898599999997"/>
  </r>
  <r>
    <x v="9"/>
    <m/>
    <x v="29"/>
    <s v="IMPDH1"/>
    <n v="-0.25827278199999998"/>
    <n v="0.25827278199999998"/>
    <n v="4.2411E-4"/>
    <n v="4.3259170999999999E-2"/>
  </r>
  <r>
    <x v="9"/>
    <m/>
    <x v="30"/>
    <s v="ADA"/>
    <n v="-0.42848903399999999"/>
    <n v="0.42848903399999999"/>
    <n v="4.1359400000000003E-3"/>
    <n v="0.13665022499999999"/>
  </r>
  <r>
    <x v="9"/>
    <m/>
    <x v="31"/>
    <s v="NME6"/>
    <n v="-0.168859171"/>
    <n v="0.168859171"/>
    <n v="3.860236E-3"/>
    <n v="0.13665022499999999"/>
  </r>
  <r>
    <x v="9"/>
    <m/>
    <x v="32"/>
    <s v="NME6"/>
    <n v="0.196286656"/>
    <n v="0.196286656"/>
    <n v="4.83804E-4"/>
    <n v="4.5118211999999998E-2"/>
  </r>
  <r>
    <x v="9"/>
    <m/>
    <x v="33"/>
    <s v="ITPA"/>
    <n v="-0.115365272"/>
    <n v="0.115365272"/>
    <n v="4.8736182000000003E-2"/>
    <n v="0.35486563799999998"/>
  </r>
  <r>
    <x v="9"/>
    <m/>
    <x v="32"/>
    <s v="GMPS"/>
    <n v="-0.20722589599999999"/>
    <n v="0.20722589599999999"/>
    <n v="1.2873069999999999E-3"/>
    <n v="7.5031633E-2"/>
  </r>
  <r>
    <x v="9"/>
    <m/>
    <x v="34"/>
    <s v="NT5C1B-RDH14"/>
    <n v="-0.14334642"/>
    <n v="0.14334642"/>
    <n v="9.7543390000000008E-3"/>
    <n v="0.201507352"/>
  </r>
  <r>
    <x v="9"/>
    <m/>
    <x v="35"/>
    <s v="HDDC3"/>
    <n v="-0.165352998"/>
    <n v="0.165352998"/>
    <n v="3.7992544000000003E-2"/>
    <n v="0.32246170299999999"/>
  </r>
  <r>
    <x v="9"/>
    <m/>
    <x v="36"/>
    <s v="NUDT2"/>
    <n v="8.3526383999999995E-2"/>
    <n v="8.3526383999999995E-2"/>
    <n v="1.5175734E-2"/>
    <n v="0.23038882099999999"/>
  </r>
  <r>
    <x v="9"/>
    <m/>
    <x v="29"/>
    <s v="NME6"/>
    <n v="-0.16016875999999999"/>
    <n v="0.16016875999999999"/>
    <n v="4.0713379999999999E-3"/>
    <n v="0.13665022499999999"/>
  </r>
  <r>
    <x v="9"/>
    <m/>
    <x v="37"/>
    <s v="NT5C1B-RDH14"/>
    <n v="0.48435625999999998"/>
    <n v="0.48435625999999998"/>
    <n v="1.2985106E-2"/>
    <n v="0.22329868"/>
  </r>
  <r>
    <x v="9"/>
    <m/>
    <x v="38"/>
    <s v="ADSL"/>
    <n v="-5.2941517E-2"/>
    <n v="5.2941517E-2"/>
    <n v="2.6756359E-2"/>
    <n v="0.29035814700000001"/>
  </r>
  <r>
    <x v="9"/>
    <m/>
    <x v="38"/>
    <s v="AK6"/>
    <n v="-7.9818247999999994E-2"/>
    <n v="7.9818247999999994E-2"/>
    <n v="2.6042143E-2"/>
    <n v="0.29035814700000001"/>
  </r>
  <r>
    <x v="9"/>
    <m/>
    <x v="38"/>
    <s v="NT5C1B-RDH14"/>
    <n v="-0.13159907100000001"/>
    <n v="0.13159907100000001"/>
    <n v="1.4772014999999999E-2"/>
    <n v="0.23038882099999999"/>
  </r>
  <r>
    <x v="9"/>
    <m/>
    <x v="39"/>
    <s v="NME6"/>
    <n v="-9.7682899000000004E-2"/>
    <n v="9.7682899000000004E-2"/>
    <n v="1.2206984000000001E-2"/>
    <n v="0.22281664500000001"/>
  </r>
  <r>
    <x v="9"/>
    <m/>
    <x v="40"/>
    <s v="NUDT16"/>
    <n v="-0.71154881199999997"/>
    <n v="0.71154881199999997"/>
    <n v="1.7214157000000001E-2"/>
    <n v="0.24972003200000001"/>
  </r>
  <r>
    <x v="9"/>
    <m/>
    <x v="40"/>
    <s v="ITPA"/>
    <n v="0.64463456200000002"/>
    <n v="0.64463456200000002"/>
    <n v="1.487445E-3"/>
    <n v="8.5175808000000006E-2"/>
  </r>
  <r>
    <x v="9"/>
    <m/>
    <x v="41"/>
    <s v="PDE10A"/>
    <n v="0.18345673200000001"/>
    <n v="0.18345673200000001"/>
    <n v="4.5299590000000001E-2"/>
    <n v="0.34012037499999997"/>
  </r>
  <r>
    <x v="10"/>
    <m/>
    <x v="42"/>
    <s v="DHODH"/>
    <n v="-0.26773533700000002"/>
    <n v="0.26773533700000002"/>
    <n v="3.0967053000000001E-2"/>
    <n v="0.30674497099999998"/>
  </r>
  <r>
    <x v="10"/>
    <m/>
    <x v="43"/>
    <s v="UMPS"/>
    <n v="-0.29417890800000002"/>
    <n v="0.29417890800000002"/>
    <n v="4.8699999999999998E-5"/>
    <n v="1.7647493E-2"/>
  </r>
  <r>
    <x v="10"/>
    <m/>
    <x v="33"/>
    <s v="UMPS"/>
    <n v="-0.197413323"/>
    <n v="0.197413323"/>
    <n v="8.7726700000000004E-4"/>
    <n v="6.0923375000000002E-2"/>
  </r>
  <r>
    <x v="10"/>
    <m/>
    <x v="29"/>
    <s v="UMPS"/>
    <n v="0.31448265399999997"/>
    <n v="0.31448265399999997"/>
    <n v="5.4500000000000003E-5"/>
    <n v="1.7790226999999999E-2"/>
  </r>
  <r>
    <x v="10"/>
    <m/>
    <x v="29"/>
    <s v="UCKL1"/>
    <n v="0.340075248"/>
    <n v="0.340075248"/>
    <n v="4.8355129999999996E-3"/>
    <n v="0.147505734"/>
  </r>
  <r>
    <x v="10"/>
    <m/>
    <x v="44"/>
    <s v="NT5C1B-RDH14"/>
    <n v="0.11912756100000001"/>
    <n v="0.11912756100000001"/>
    <n v="2.2829841999999999E-2"/>
    <n v="0.27761394"/>
  </r>
  <r>
    <x v="10"/>
    <m/>
    <x v="40"/>
    <s v="CTPS1"/>
    <n v="0.41327224600000001"/>
    <n v="0.41327224600000001"/>
    <n v="2.8006174000000002E-2"/>
    <n v="0.29116463300000001"/>
  </r>
  <r>
    <x v="10"/>
    <m/>
    <x v="45"/>
    <s v="NME6"/>
    <n v="0.15033063199999999"/>
    <n v="0.15033063199999999"/>
    <n v="1.5021975E-2"/>
    <n v="0.23038882099999999"/>
  </r>
  <r>
    <x v="10"/>
    <m/>
    <x v="40"/>
    <s v="RRM2B"/>
    <n v="-0.47953641600000002"/>
    <n v="0.47953641600000002"/>
    <n v="1.3272042E-2"/>
    <n v="0.22329868"/>
  </r>
  <r>
    <x v="10"/>
    <m/>
    <x v="43"/>
    <s v="CDA"/>
    <n v="0.41347419099999999"/>
    <n v="0.41347419099999999"/>
    <n v="1.147244E-3"/>
    <n v="7.1189126000000005E-2"/>
  </r>
  <r>
    <x v="10"/>
    <m/>
    <x v="33"/>
    <s v="DCTD"/>
    <n v="-0.148770703"/>
    <n v="0.148770703"/>
    <n v="2.5340750000000002E-3"/>
    <n v="0.113304379"/>
  </r>
  <r>
    <x v="10"/>
    <m/>
    <x v="46"/>
    <s v="DTYMK"/>
    <n v="-0.25836099400000001"/>
    <n v="0.25836099400000001"/>
    <n v="6.8691020000000002E-3"/>
    <n v="0.16607962900000001"/>
  </r>
  <r>
    <x v="10"/>
    <m/>
    <x v="40"/>
    <s v="DTYMK"/>
    <n v="0.79395071900000003"/>
    <n v="0.79395071900000003"/>
    <n v="1.0046949999999999E-3"/>
    <n v="6.5586516999999997E-2"/>
  </r>
  <r>
    <x v="10"/>
    <m/>
    <x v="47"/>
    <s v="DPYD"/>
    <n v="-0.204328975"/>
    <n v="0.204328975"/>
    <n v="7.6241019999999998E-3"/>
    <n v="0.175246966"/>
  </r>
  <r>
    <x v="10"/>
    <m/>
    <x v="48"/>
    <s v="HDDC2"/>
    <n v="-0.18123307799999999"/>
    <n v="0.18123307799999999"/>
    <n v="3.8851359000000002E-2"/>
    <n v="0.32599186699999999"/>
  </r>
  <r>
    <x v="11"/>
    <m/>
    <x v="49"/>
    <s v="CAD"/>
    <n v="-0.164625989"/>
    <n v="0.164625989"/>
    <n v="7.7018010000000003E-3"/>
    <n v="0.175794956"/>
  </r>
  <r>
    <x v="11"/>
    <m/>
    <x v="49"/>
    <s v="GLUL"/>
    <n v="-0.193935197"/>
    <n v="0.193935197"/>
    <n v="2.8181978E-2"/>
    <n v="0.29116463300000001"/>
  </r>
  <r>
    <x v="11"/>
    <m/>
    <x v="42"/>
    <s v="GLS2"/>
    <n v="0.59981484299999999"/>
    <n v="0.59981484299999999"/>
    <n v="1.9043102999999999E-2"/>
    <n v="0.25378521500000001"/>
  </r>
  <r>
    <x v="11"/>
    <m/>
    <x v="42"/>
    <s v="GLUL"/>
    <n v="-0.27103384400000002"/>
    <n v="0.27103384400000002"/>
    <n v="3.8035463999999998E-2"/>
    <n v="0.32246170299999999"/>
  </r>
  <r>
    <x v="11"/>
    <m/>
    <x v="50"/>
    <s v="IL4I1"/>
    <n v="-0.243395371"/>
    <n v="0.243395371"/>
    <n v="1.9763785999999998E-2"/>
    <n v="0.25598808299999998"/>
  </r>
  <r>
    <x v="12"/>
    <m/>
    <x v="51"/>
    <s v="GATM"/>
    <n v="0.23616478399999999"/>
    <n v="0.23616478399999999"/>
    <n v="1.8813258999999999E-2"/>
    <n v="0.25378521500000001"/>
  </r>
  <r>
    <x v="13"/>
    <m/>
    <x v="52"/>
    <s v="KYAT3"/>
    <n v="0.12234406"/>
    <n v="0.12234406"/>
    <n v="4.5137305000000003E-2"/>
    <n v="0.34012037499999997"/>
  </r>
  <r>
    <x v="13"/>
    <m/>
    <x v="53"/>
    <s v="KYAT3"/>
    <n v="-0.27659033100000002"/>
    <n v="0.27659033100000002"/>
    <n v="3.0027155E-2"/>
    <n v="0.30249578100000002"/>
  </r>
  <r>
    <x v="13"/>
    <m/>
    <x v="54"/>
    <s v="AMD1"/>
    <n v="0.15520489900000001"/>
    <n v="0.15520489900000001"/>
    <n v="3.7050531999999997E-2"/>
    <n v="0.31986945100000003"/>
  </r>
  <r>
    <x v="13"/>
    <m/>
    <x v="55"/>
    <s v="PHGDH"/>
    <n v="0.207751298"/>
    <n v="0.207751298"/>
    <n v="3.7929716000000002E-2"/>
    <n v="0.32246170299999999"/>
  </r>
  <r>
    <x v="13"/>
    <m/>
    <x v="56"/>
    <s v="GNMT"/>
    <n v="-0.80821652300000002"/>
    <n v="0.80821652300000002"/>
    <n v="1.265457E-3"/>
    <n v="7.5031633E-2"/>
  </r>
  <r>
    <x v="14"/>
    <m/>
    <x v="24"/>
    <s v="IVD"/>
    <n v="-0.148592795"/>
    <n v="0.148592795"/>
    <n v="4.1463862999999997E-2"/>
    <n v="0.33523462199999998"/>
  </r>
  <r>
    <x v="14"/>
    <m/>
    <x v="57"/>
    <s v="IVD"/>
    <n v="-0.19410180799999999"/>
    <n v="0.19410180799999999"/>
    <n v="4.3048033999999999E-2"/>
    <n v="0.33945918000000003"/>
  </r>
  <r>
    <x v="14"/>
    <m/>
    <x v="57"/>
    <s v="ECHS1"/>
    <n v="-0.342843179"/>
    <n v="0.342843179"/>
    <n v="1.6036680000000001E-2"/>
    <n v="0.24010305500000001"/>
  </r>
  <r>
    <x v="14"/>
    <m/>
    <x v="58"/>
    <s v="OXCT1"/>
    <n v="-0.27510880300000001"/>
    <n v="0.27510880300000001"/>
    <n v="3.2219402000000001E-2"/>
    <n v="0.30674497099999998"/>
  </r>
  <r>
    <x v="14"/>
    <m/>
    <x v="59"/>
    <s v="HIBADH"/>
    <n v="-0.26292496599999998"/>
    <n v="0.26292496599999998"/>
    <n v="9.1180000000000005E-4"/>
    <n v="6.2002401999999998E-2"/>
  </r>
  <r>
    <x v="14"/>
    <m/>
    <x v="59"/>
    <s v="ABAT"/>
    <n v="0.217994413"/>
    <n v="0.217994413"/>
    <n v="4.7294999999999997E-2"/>
    <n v="0.349255388"/>
  </r>
  <r>
    <x v="14"/>
    <m/>
    <x v="60"/>
    <s v="ECHS1"/>
    <n v="0.40780064300000002"/>
    <n v="0.40780064300000002"/>
    <n v="1.6442157999999998E-2"/>
    <n v="0.24174416200000001"/>
  </r>
  <r>
    <x v="14"/>
    <m/>
    <x v="61"/>
    <s v="ALDH2"/>
    <n v="0.61001931499999995"/>
    <n v="0.61001931499999995"/>
    <n v="2.2986489999999998E-3"/>
    <n v="0.10805922900000001"/>
  </r>
  <r>
    <x v="14"/>
    <m/>
    <x v="62"/>
    <s v="ACAT1"/>
    <n v="-0.24812582699999999"/>
    <n v="0.24812582699999999"/>
    <n v="1.42907E-2"/>
    <n v="0.22977756199999999"/>
  </r>
  <r>
    <x v="15"/>
    <m/>
    <x v="63"/>
    <s v="PLOD1"/>
    <n v="0.36141853899999998"/>
    <n v="0.36141853899999998"/>
    <n v="5.0848200000000003E-3"/>
    <n v="0.15367456800000001"/>
  </r>
  <r>
    <x v="15"/>
    <m/>
    <x v="64"/>
    <s v="EHMT2"/>
    <n v="-0.33089837"/>
    <n v="0.33089837"/>
    <n v="7.5906460000000004E-3"/>
    <n v="0.175246966"/>
  </r>
  <r>
    <x v="15"/>
    <m/>
    <x v="63"/>
    <s v="CAMKMT"/>
    <n v="-0.21245539999999999"/>
    <n v="0.21245539999999999"/>
    <n v="1.7334875E-2"/>
    <n v="0.25035855099999998"/>
  </r>
  <r>
    <x v="15"/>
    <m/>
    <x v="65"/>
    <s v="DLD"/>
    <n v="-0.23021704300000001"/>
    <n v="0.23021704300000001"/>
    <n v="3.27845E-4"/>
    <n v="4.2726105E-2"/>
  </r>
  <r>
    <x v="16"/>
    <m/>
    <x v="51"/>
    <s v="GATM"/>
    <n v="0.23616478399999999"/>
    <n v="0.23616478399999999"/>
    <n v="1.8813258999999999E-2"/>
    <n v="0.25378521500000001"/>
  </r>
  <r>
    <x v="16"/>
    <m/>
    <x v="66"/>
    <s v="CARNS1"/>
    <n v="0.29775352700000002"/>
    <n v="0.29775352700000002"/>
    <n v="4.2549322000000001E-2"/>
    <n v="0.33790994400000002"/>
  </r>
  <r>
    <x v="16"/>
    <m/>
    <x v="67"/>
    <s v="SAT2"/>
    <n v="-3.0827382E-2"/>
    <n v="3.0827382E-2"/>
    <n v="4.7087586000000001E-2"/>
    <n v="0.349255388"/>
  </r>
  <r>
    <x v="16"/>
    <m/>
    <x v="68"/>
    <s v="ALDH4A1"/>
    <n v="-0.273931602"/>
    <n v="0.273931602"/>
    <n v="1.3987902999999999E-2"/>
    <n v="0.229429731"/>
  </r>
  <r>
    <x v="16"/>
    <m/>
    <x v="69"/>
    <s v="ODC1"/>
    <n v="0.10742476400000001"/>
    <n v="0.10742476400000001"/>
    <n v="2.0566192000000001E-2"/>
    <n v="0.25818887899999998"/>
  </r>
  <r>
    <x v="17"/>
    <m/>
    <x v="70"/>
    <s v="IL4I1"/>
    <n v="-0.10901297"/>
    <n v="0.10901297"/>
    <n v="4.9775052E-2"/>
    <n v="0.35486563799999998"/>
  </r>
  <r>
    <x v="18"/>
    <m/>
    <x v="70"/>
    <s v="IL4I1"/>
    <n v="-0.10901297"/>
    <n v="0.10901297"/>
    <n v="4.9775052E-2"/>
    <n v="0.35486563799999998"/>
  </r>
  <r>
    <x v="19"/>
    <m/>
    <x v="71"/>
    <s v="KYNU"/>
    <n v="-0.19630518299999999"/>
    <n v="0.19630518299999999"/>
    <n v="3.3375057999999999E-2"/>
    <n v="0.307710339"/>
  </r>
  <r>
    <x v="19"/>
    <m/>
    <x v="72"/>
    <s v="KYNU"/>
    <n v="-0.231354961"/>
    <n v="0.231354961"/>
    <n v="1.4191738000000001E-2"/>
    <n v="0.22977756199999999"/>
  </r>
  <r>
    <x v="20"/>
    <m/>
    <x v="73"/>
    <s v="ALDH2"/>
    <n v="-0.47151221900000001"/>
    <n v="0.47151221900000001"/>
    <n v="2.802283E-3"/>
    <n v="0.11878770399999999"/>
  </r>
  <r>
    <x v="20"/>
    <m/>
    <x v="66"/>
    <s v="CARNS1"/>
    <n v="0.29775352700000002"/>
    <n v="0.29775352700000002"/>
    <n v="4.2549322000000001E-2"/>
    <n v="0.33790994400000002"/>
  </r>
  <r>
    <x v="20"/>
    <m/>
    <x v="74"/>
    <s v="ALDH2"/>
    <n v="0.18527354700000001"/>
    <n v="0.18527354700000001"/>
    <n v="9.0708109999999998E-3"/>
    <n v="0.197380841"/>
  </r>
  <r>
    <x v="20"/>
    <m/>
    <x v="59"/>
    <s v="ABAT"/>
    <n v="0.217994413"/>
    <n v="0.217994413"/>
    <n v="4.7294999999999997E-2"/>
    <n v="0.349255388"/>
  </r>
  <r>
    <x v="20"/>
    <m/>
    <x v="75"/>
    <s v="CNDP2"/>
    <n v="0.15054763900000001"/>
    <n v="0.15054763900000001"/>
    <n v="9.4182100000000002E-4"/>
    <n v="6.2736833000000006E-2"/>
  </r>
  <r>
    <x v="20"/>
    <m/>
    <x v="76"/>
    <s v="ALDH2"/>
    <n v="0.42839441499999997"/>
    <n v="0.42839441499999997"/>
    <n v="1.2101145000000001E-2"/>
    <n v="0.22281664500000001"/>
  </r>
  <r>
    <x v="20"/>
    <m/>
    <x v="77"/>
    <s v="SMOX"/>
    <n v="0.27480075100000001"/>
    <n v="0.27480075100000001"/>
    <n v="2.9860210000000002E-2"/>
    <n v="0.30174527699999998"/>
  </r>
  <r>
    <x v="20"/>
    <m/>
    <x v="24"/>
    <s v="ACOX1"/>
    <n v="0.208883864"/>
    <n v="0.208883864"/>
    <n v="2.9233451000000001E-2"/>
    <n v="0.29725228599999998"/>
  </r>
  <r>
    <x v="21"/>
    <m/>
    <x v="78"/>
    <s v="CEPT1"/>
    <n v="-0.19886269100000001"/>
    <n v="0.19886269100000001"/>
    <n v="3.3648620000000001E-3"/>
    <n v="0.13074894000000001"/>
  </r>
  <r>
    <x v="22"/>
    <m/>
    <x v="79"/>
    <s v="TXNRD2"/>
    <n v="-0.20005525399999999"/>
    <n v="0.20005525399999999"/>
    <n v="1.6628159999999999E-3"/>
    <n v="9.0457209999999996E-2"/>
  </r>
  <r>
    <x v="22"/>
    <m/>
    <x v="80"/>
    <s v="SCLY"/>
    <n v="0.15864119800000001"/>
    <n v="0.15864119800000001"/>
    <n v="3.6972497E-2"/>
    <n v="0.31986945100000003"/>
  </r>
  <r>
    <x v="22"/>
    <m/>
    <x v="52"/>
    <s v="KYAT3"/>
    <n v="0.12234406"/>
    <n v="0.12234406"/>
    <n v="4.5137305000000003E-2"/>
    <n v="0.34012037499999997"/>
  </r>
  <r>
    <x v="23"/>
    <m/>
    <x v="81"/>
    <s v="LANCL1"/>
    <n v="-0.354485997"/>
    <n v="0.354485997"/>
    <n v="1.853501E-3"/>
    <n v="9.9177479999999998E-2"/>
  </r>
  <r>
    <x v="23"/>
    <m/>
    <x v="82"/>
    <s v="GPX4"/>
    <n v="-0.37430149699999998"/>
    <n v="0.37430149699999998"/>
    <n v="9.3328439999999999E-3"/>
    <n v="0.19850409899999999"/>
  </r>
  <r>
    <x v="23"/>
    <m/>
    <x v="83"/>
    <s v="GSS"/>
    <n v="-9.9345563999999997E-2"/>
    <n v="9.9345563999999997E-2"/>
    <n v="2.4197982E-2"/>
    <n v="0.28108855500000002"/>
  </r>
  <r>
    <x v="24"/>
    <m/>
    <x v="84"/>
    <s v="AGL"/>
    <n v="-9.3883649E-2"/>
    <n v="9.3883649E-2"/>
    <n v="6.3583010000000002E-3"/>
    <n v="0.165613279"/>
  </r>
  <r>
    <x v="25"/>
    <m/>
    <x v="85"/>
    <s v="ALG5"/>
    <n v="-0.35525047599999998"/>
    <n v="0.35525047599999998"/>
    <n v="3.8500000000000001E-5"/>
    <n v="1.7647493E-2"/>
  </r>
  <r>
    <x v="25"/>
    <m/>
    <x v="85"/>
    <s v="DPAGT1"/>
    <n v="-0.227188581"/>
    <n v="0.227188581"/>
    <n v="4.58939E-4"/>
    <n v="4.5118211999999998E-2"/>
  </r>
  <r>
    <x v="25"/>
    <m/>
    <x v="86"/>
    <s v="ALG5"/>
    <n v="0.82539682299999995"/>
    <n v="0.82539682299999995"/>
    <n v="2.1043E-4"/>
    <n v="4.2726105E-2"/>
  </r>
  <r>
    <x v="25"/>
    <m/>
    <x v="87"/>
    <s v="ALG1"/>
    <n v="-0.60472559999999997"/>
    <n v="0.60472559999999997"/>
    <n v="4.8499999999999998E-10"/>
    <n v="1.5799999999999999E-6"/>
  </r>
  <r>
    <x v="25"/>
    <m/>
    <x v="88"/>
    <s v="ALG9"/>
    <n v="-0.33881169500000002"/>
    <n v="0.33881169500000002"/>
    <n v="2.4597299999999998E-3"/>
    <n v="0.11150777000000001"/>
  </r>
  <r>
    <x v="25"/>
    <m/>
    <x v="86"/>
    <s v="ALG9"/>
    <n v="0.65933411399999997"/>
    <n v="0.65933411399999997"/>
    <n v="1.13446E-4"/>
    <n v="3.085734E-2"/>
  </r>
  <r>
    <x v="25"/>
    <m/>
    <x v="89"/>
    <s v="B4GALT1"/>
    <n v="0.34963634399999999"/>
    <n v="0.34963634399999999"/>
    <n v="4.05793E-4"/>
    <n v="4.2726105E-2"/>
  </r>
  <r>
    <x v="25"/>
    <m/>
    <x v="90"/>
    <s v="ST6GAL1"/>
    <n v="0.21951641499999999"/>
    <n v="0.21951641499999999"/>
    <n v="4.9607525E-2"/>
    <n v="0.35486563799999998"/>
  </r>
  <r>
    <x v="25"/>
    <m/>
    <x v="91"/>
    <s v="ALG6"/>
    <n v="0.19175922000000001"/>
    <n v="0.19175922000000001"/>
    <n v="3.3605200000000001E-3"/>
    <n v="0.13074894000000001"/>
  </r>
  <r>
    <x v="26"/>
    <m/>
    <x v="92"/>
    <s v="C1GALT1C1"/>
    <n v="-0.17857931599999999"/>
    <n v="0.17857931599999999"/>
    <n v="4.3443019999999999E-2"/>
    <n v="0.34012037499999997"/>
  </r>
  <r>
    <x v="26"/>
    <m/>
    <x v="93"/>
    <s v="POC1B-GALNT4"/>
    <n v="-0.19884949299999999"/>
    <n v="0.19884949299999999"/>
    <n v="4.3131685000000003E-2"/>
    <n v="0.33945918000000003"/>
  </r>
  <r>
    <x v="27"/>
    <m/>
    <x v="94"/>
    <s v="FUT8"/>
    <n v="0.154963727"/>
    <n v="0.154963727"/>
    <n v="3.0329413E-2"/>
    <n v="0.30366626499999999"/>
  </r>
  <r>
    <x v="27"/>
    <m/>
    <x v="89"/>
    <s v="B4GALT1"/>
    <n v="0.34963634399999999"/>
    <n v="0.34963634399999999"/>
    <n v="4.05793E-4"/>
    <n v="4.2726105E-2"/>
  </r>
  <r>
    <x v="27"/>
    <m/>
    <x v="90"/>
    <s v="ST3GAL3"/>
    <n v="0.24952048099999999"/>
    <n v="0.24952048099999999"/>
    <n v="5.6014949999999997E-3"/>
    <n v="0.16179893200000001"/>
  </r>
  <r>
    <x v="27"/>
    <m/>
    <x v="95"/>
    <s v="CHST8"/>
    <n v="0.238104554"/>
    <n v="0.238104554"/>
    <n v="3.9547091999999999E-2"/>
    <n v="0.32892196000000001"/>
  </r>
  <r>
    <x v="28"/>
    <m/>
    <x v="96"/>
    <s v="POMGNT1"/>
    <n v="-0.31473951300000003"/>
    <n v="0.31473951300000003"/>
    <n v="8.3039359999999996E-3"/>
    <n v="0.18539280299999999"/>
  </r>
  <r>
    <x v="28"/>
    <m/>
    <x v="90"/>
    <s v="ST3GAL3"/>
    <n v="0.24952048099999999"/>
    <n v="0.24952048099999999"/>
    <n v="5.6014949999999997E-3"/>
    <n v="0.16179893200000001"/>
  </r>
  <r>
    <x v="28"/>
    <m/>
    <x v="97"/>
    <s v="LARGE2"/>
    <n v="-0.36500176499999998"/>
    <n v="0.36500176499999998"/>
    <n v="1.5088254000000001E-2"/>
    <n v="0.23038882099999999"/>
  </r>
  <r>
    <x v="29"/>
    <m/>
    <x v="98"/>
    <s v="RENBP"/>
    <n v="0.241942237"/>
    <n v="0.241942237"/>
    <n v="7.9375230000000001E-3"/>
    <n v="0.178676377"/>
  </r>
  <r>
    <x v="29"/>
    <m/>
    <x v="98"/>
    <s v="AMDHD2"/>
    <n v="0.25552405500000003"/>
    <n v="0.25552405500000003"/>
    <n v="4.9224213000000003E-2"/>
    <n v="0.35486563799999998"/>
  </r>
  <r>
    <x v="29"/>
    <m/>
    <x v="99"/>
    <s v="PGM3"/>
    <n v="-0.16060265000000001"/>
    <n v="0.16060265000000001"/>
    <n v="3.8237500000000001E-4"/>
    <n v="4.2726105E-2"/>
  </r>
  <r>
    <x v="29"/>
    <m/>
    <x v="100"/>
    <s v="GFPT1"/>
    <n v="-0.137967164"/>
    <n v="0.137967164"/>
    <n v="4.1470776000000001E-2"/>
    <n v="0.33523462199999998"/>
  </r>
  <r>
    <x v="29"/>
    <m/>
    <x v="101"/>
    <s v="GPI"/>
    <n v="-0.23142110900000001"/>
    <n v="0.23142110900000001"/>
    <n v="4.4679165999999999E-2"/>
    <n v="0.34012037499999997"/>
  </r>
  <r>
    <x v="29"/>
    <m/>
    <x v="102"/>
    <s v="FPGT"/>
    <n v="0.17987726100000001"/>
    <n v="0.17987726100000001"/>
    <n v="4.4920594000000001E-2"/>
    <n v="0.34012037499999997"/>
  </r>
  <r>
    <x v="30"/>
    <m/>
    <x v="103"/>
    <s v="ARSB"/>
    <n v="0.118542706"/>
    <n v="0.118542706"/>
    <n v="3.1233978999999999E-2"/>
    <n v="0.30674497099999998"/>
  </r>
  <r>
    <x v="30"/>
    <m/>
    <x v="103"/>
    <s v="SGSH"/>
    <n v="0.15048218299999999"/>
    <n v="0.15048218299999999"/>
    <n v="3.5366847E-2"/>
    <n v="0.31350072699999998"/>
  </r>
  <r>
    <x v="31"/>
    <m/>
    <x v="104"/>
    <s v="EXT1"/>
    <n v="0.35414710300000002"/>
    <n v="0.35414710300000002"/>
    <n v="4.7565299999999998E-4"/>
    <n v="4.5118211999999998E-2"/>
  </r>
  <r>
    <x v="32"/>
    <m/>
    <x v="105"/>
    <s v="NPL"/>
    <n v="-0.35342724199999997"/>
    <n v="0.35342724199999997"/>
    <n v="1.2265534999999999E-2"/>
    <n v="0.22281664500000001"/>
  </r>
  <r>
    <x v="32"/>
    <m/>
    <x v="106"/>
    <s v="NPL"/>
    <n v="-0.214089266"/>
    <n v="0.214089266"/>
    <n v="2.2232128E-2"/>
    <n v="0.27486994399999998"/>
  </r>
  <r>
    <x v="33"/>
    <m/>
    <x v="107"/>
    <s v="ALDH2"/>
    <n v="0.41904177199999998"/>
    <n v="0.41904177199999998"/>
    <n v="2.0183499999999999E-3"/>
    <n v="0.104569735"/>
  </r>
  <r>
    <x v="33"/>
    <m/>
    <x v="108"/>
    <s v="MGLL"/>
    <n v="-0.15341348599999999"/>
    <n v="0.15341348599999999"/>
    <n v="2.7422755E-2"/>
    <n v="0.29060997999999999"/>
  </r>
  <r>
    <x v="33"/>
    <m/>
    <x v="109"/>
    <s v="LPL"/>
    <n v="0.76506788299999995"/>
    <n v="0.76506788299999995"/>
    <n v="4.7037420000000003E-3"/>
    <n v="0.146219191"/>
  </r>
  <r>
    <x v="33"/>
    <m/>
    <x v="108"/>
    <s v="CEL"/>
    <n v="-2.2E-17"/>
    <n v="2.1992199999999999E-17"/>
    <n v="8.4209539999999996E-3"/>
    <n v="0.18571616899999999"/>
  </r>
  <r>
    <x v="34"/>
    <m/>
    <x v="110"/>
    <s v="PTEN"/>
    <n v="-0.17010087800000001"/>
    <n v="0.17010087800000001"/>
    <n v="2.7310034E-2"/>
    <n v="0.29035814700000001"/>
  </r>
  <r>
    <x v="34"/>
    <m/>
    <x v="110"/>
    <s v="PIK3CA"/>
    <n v="-0.106477373"/>
    <n v="0.106477373"/>
    <n v="9.5517610000000006E-3"/>
    <n v="0.20084521599999999"/>
  </r>
  <r>
    <x v="34"/>
    <m/>
    <x v="110"/>
    <s v="INPP5B"/>
    <n v="8.9965522000000006E-2"/>
    <n v="8.9965522000000006E-2"/>
    <n v="3.4344096999999997E-2"/>
    <n v="0.30881303300000001"/>
  </r>
  <r>
    <x v="34"/>
    <m/>
    <x v="111"/>
    <s v="INPP4A"/>
    <n v="0.24165489200000001"/>
    <n v="0.24165489200000001"/>
    <n v="3.8427240000000001E-2"/>
    <n v="0.32409951399999998"/>
  </r>
  <r>
    <x v="34"/>
    <m/>
    <x v="112"/>
    <s v="PIK3C3"/>
    <n v="-0.22202572500000001"/>
    <n v="0.22202572500000001"/>
    <n v="3.2100393999999997E-2"/>
    <n v="0.30674497099999998"/>
  </r>
  <r>
    <x v="34"/>
    <m/>
    <x v="113"/>
    <s v="INPP1"/>
    <n v="-0.17435490100000001"/>
    <n v="0.17435490100000001"/>
    <n v="2.7850258999999999E-2"/>
    <n v="0.29116463300000001"/>
  </r>
  <r>
    <x v="34"/>
    <m/>
    <x v="114"/>
    <s v="CDIPT"/>
    <n v="-0.36625834499999999"/>
    <n v="0.36625834499999999"/>
    <n v="4.1698913999999997E-2"/>
    <n v="0.33523462199999998"/>
  </r>
  <r>
    <x v="35"/>
    <m/>
    <x v="115"/>
    <s v="AGPAT1"/>
    <n v="-8.0339104999999994E-2"/>
    <n v="8.0339104999999994E-2"/>
    <n v="1.5160521E-2"/>
    <n v="0.23038882099999999"/>
  </r>
  <r>
    <x v="35"/>
    <m/>
    <x v="116"/>
    <s v="CRLS1"/>
    <n v="-0.103084913"/>
    <n v="0.103084913"/>
    <n v="5.6506199999999996E-4"/>
    <n v="4.8535821999999999E-2"/>
  </r>
  <r>
    <x v="35"/>
    <m/>
    <x v="117"/>
    <s v="LCAT"/>
    <n v="-0.12083590299999999"/>
    <n v="0.12083590299999999"/>
    <n v="3.1995188000000001E-2"/>
    <n v="0.30674497099999998"/>
  </r>
  <r>
    <x v="35"/>
    <m/>
    <x v="118"/>
    <s v="CEPT1"/>
    <n v="-0.21325306699999999"/>
    <n v="0.21325306699999999"/>
    <n v="2.8006039999999999E-3"/>
    <n v="0.11878770399999999"/>
  </r>
  <r>
    <x v="35"/>
    <m/>
    <x v="118"/>
    <s v="PLD4"/>
    <n v="0.697717433"/>
    <n v="0.697717433"/>
    <n v="4.9256320999999999E-2"/>
    <n v="0.35486563799999998"/>
  </r>
  <r>
    <x v="35"/>
    <m/>
    <x v="119"/>
    <s v="PEMT"/>
    <n v="0.71930062100000003"/>
    <n v="0.71930062100000003"/>
    <n v="1.2655108999999999E-2"/>
    <n v="0.22281664500000001"/>
  </r>
  <r>
    <x v="35"/>
    <m/>
    <x v="119"/>
    <s v="LPCAT3"/>
    <n v="-0.45855092200000003"/>
    <n v="0.45855092200000003"/>
    <n v="3.7144510000000001E-3"/>
    <n v="0.136224344"/>
  </r>
  <r>
    <x v="35"/>
    <m/>
    <x v="120"/>
    <s v="PISD"/>
    <n v="0.32408390100000001"/>
    <n v="0.32408390100000001"/>
    <n v="2.5392958E-2"/>
    <n v="0.28878959799999998"/>
  </r>
  <r>
    <x v="35"/>
    <m/>
    <x v="121"/>
    <s v="LPCAT3"/>
    <n v="0.222349033"/>
    <n v="0.222349033"/>
    <n v="3.6119678000000002E-2"/>
    <n v="0.31522627800000003"/>
  </r>
  <r>
    <x v="35"/>
    <m/>
    <x v="118"/>
    <s v="LYPLA1"/>
    <n v="-0.26308029999999999"/>
    <n v="0.26308029999999999"/>
    <n v="3.9163410000000003E-3"/>
    <n v="0.13665022499999999"/>
  </r>
  <r>
    <x v="35"/>
    <m/>
    <x v="119"/>
    <s v="PCYT1A"/>
    <n v="-0.47504664600000002"/>
    <n v="0.47504664600000002"/>
    <n v="6.6403490000000003E-3"/>
    <n v="0.165613279"/>
  </r>
  <r>
    <x v="35"/>
    <m/>
    <x v="122"/>
    <s v="LPCAT3"/>
    <n v="-0.24807383699999999"/>
    <n v="0.24807383699999999"/>
    <n v="1.2603735E-2"/>
    <n v="0.22281664500000001"/>
  </r>
  <r>
    <x v="35"/>
    <m/>
    <x v="115"/>
    <s v="PLD4"/>
    <n v="2.2400000000000001E-17"/>
    <n v="2.2403499999999999E-17"/>
    <n v="1.656287E-2"/>
    <n v="0.24242693300000001"/>
  </r>
  <r>
    <x v="35"/>
    <m/>
    <x v="118"/>
    <s v="PTDSS2"/>
    <n v="0.21614022399999999"/>
    <n v="0.21614022399999999"/>
    <n v="3.9603655000000001E-2"/>
    <n v="0.32892196000000001"/>
  </r>
  <r>
    <x v="35"/>
    <m/>
    <x v="123"/>
    <s v="PTDSS2"/>
    <n v="0.199305496"/>
    <n v="0.199305496"/>
    <n v="2.7251063999999998E-2"/>
    <n v="0.29035814700000001"/>
  </r>
  <r>
    <x v="35"/>
    <m/>
    <x v="123"/>
    <s v="DGKK"/>
    <n v="-0.94029793500000003"/>
    <n v="0.94029793500000003"/>
    <n v="3.9853892000000002E-2"/>
    <n v="0.32932431499999998"/>
  </r>
  <r>
    <x v="36"/>
    <m/>
    <x v="124"/>
    <s v="CEPT1"/>
    <n v="-0.31725708899999999"/>
    <n v="0.31725708899999999"/>
    <n v="2.0409104000000001E-2"/>
    <n v="0.25818887899999998"/>
  </r>
  <r>
    <x v="36"/>
    <m/>
    <x v="125"/>
    <s v="PLA2G4B"/>
    <n v="-0.18449953099999999"/>
    <n v="0.18449953099999999"/>
    <n v="1.8552020999999998E-2"/>
    <n v="0.25378521500000001"/>
  </r>
  <r>
    <x v="37"/>
    <m/>
    <x v="126"/>
    <s v="HPGDS"/>
    <n v="-0.75033279600000002"/>
    <n v="0.75033279600000002"/>
    <n v="2.6400630000000001E-2"/>
    <n v="0.29035814700000001"/>
  </r>
  <r>
    <x v="37"/>
    <m/>
    <x v="120"/>
    <s v="ALOX5"/>
    <n v="0.45946926500000002"/>
    <n v="0.45946926500000002"/>
    <n v="1.8568885E-2"/>
    <n v="0.25378521500000001"/>
  </r>
  <r>
    <x v="37"/>
    <m/>
    <x v="127"/>
    <s v="PLA2G4B"/>
    <n v="-2.6880125000000001E-2"/>
    <n v="2.6880125000000001E-2"/>
    <n v="4.1686663999999998E-2"/>
    <n v="0.33523462199999998"/>
  </r>
  <r>
    <x v="37"/>
    <m/>
    <x v="127"/>
    <s v="ALOX5"/>
    <n v="5.4147128000000003E-2"/>
    <n v="5.4147128000000003E-2"/>
    <n v="2.7517568999999999E-2"/>
    <n v="0.29067102"/>
  </r>
  <r>
    <x v="37"/>
    <m/>
    <x v="127"/>
    <s v="PTGS1"/>
    <n v="-5.7614690000000003E-2"/>
    <n v="5.7614690000000003E-2"/>
    <n v="4.8280307000000001E-2"/>
    <n v="0.35412791300000002"/>
  </r>
  <r>
    <x v="37"/>
    <m/>
    <x v="128"/>
    <s v="PTGS1"/>
    <n v="-0.104982492"/>
    <n v="0.104982492"/>
    <n v="1.5544496E-2"/>
    <n v="0.233812148"/>
  </r>
  <r>
    <x v="37"/>
    <m/>
    <x v="129"/>
    <s v="PTGS1"/>
    <n v="9.1965218000000001E-2"/>
    <n v="9.1965218000000001E-2"/>
    <n v="1.2344824000000001E-2"/>
    <n v="0.22281664500000001"/>
  </r>
  <r>
    <x v="37"/>
    <m/>
    <x v="128"/>
    <s v="ALOX15"/>
    <n v="-0.58058889599999997"/>
    <n v="0.58058889599999997"/>
    <n v="4.7265229999999998E-2"/>
    <n v="0.349255388"/>
  </r>
  <r>
    <x v="37"/>
    <m/>
    <x v="130"/>
    <s v="ALOX12"/>
    <n v="-0.46684330699999999"/>
    <n v="0.46684330699999999"/>
    <n v="2.1527389999999999E-3"/>
    <n v="0.10805922900000001"/>
  </r>
  <r>
    <x v="38"/>
    <m/>
    <x v="127"/>
    <s v="PLA2G4B"/>
    <n v="-2.6880125000000001E-2"/>
    <n v="2.6880125000000001E-2"/>
    <n v="4.1686663999999998E-2"/>
    <n v="0.33523462199999998"/>
  </r>
  <r>
    <x v="39"/>
    <m/>
    <x v="131"/>
    <s v="UGT8"/>
    <n v="0.47814112800000003"/>
    <n v="0.47814112800000003"/>
    <n v="1.2177743E-2"/>
    <n v="0.22281664500000001"/>
  </r>
  <r>
    <x v="39"/>
    <m/>
    <x v="132"/>
    <s v="GALC"/>
    <n v="-0.119657345"/>
    <n v="0.119657345"/>
    <n v="3.8299544999999997E-2"/>
    <n v="0.32385936500000001"/>
  </r>
  <r>
    <x v="39"/>
    <m/>
    <x v="133"/>
    <s v="UGCG"/>
    <n v="0.14302182599999999"/>
    <n v="0.14302182599999999"/>
    <n v="1.6977104E-2"/>
    <n v="0.247380661"/>
  </r>
  <r>
    <x v="39"/>
    <m/>
    <x v="131"/>
    <s v="SGPL1"/>
    <n v="9.6800318999999996E-2"/>
    <n v="9.6800318999999996E-2"/>
    <n v="6.4895710000000004E-3"/>
    <n v="0.165613279"/>
  </r>
  <r>
    <x v="39"/>
    <m/>
    <x v="19"/>
    <s v="GALC"/>
    <n v="-0.19885583600000001"/>
    <n v="0.19885583600000001"/>
    <n v="3.2845159999999999E-3"/>
    <n v="0.13074894000000001"/>
  </r>
  <r>
    <x v="39"/>
    <m/>
    <x v="134"/>
    <s v="ACER3"/>
    <n v="0.44312262800000002"/>
    <n v="0.44312262800000002"/>
    <n v="2.5999999999999998E-5"/>
    <n v="1.7647493E-2"/>
  </r>
  <r>
    <x v="39"/>
    <m/>
    <x v="135"/>
    <s v="ACER3"/>
    <n v="0.106644883"/>
    <n v="0.106644883"/>
    <n v="2.6924495E-2"/>
    <n v="0.29035814700000001"/>
  </r>
  <r>
    <x v="39"/>
    <m/>
    <x v="136"/>
    <s v="PLPP1"/>
    <n v="0.23024134399999999"/>
    <n v="0.23024134399999999"/>
    <n v="4.9479165999999998E-2"/>
    <n v="0.35486563799999998"/>
  </r>
  <r>
    <x v="39"/>
    <m/>
    <x v="137"/>
    <s v="ARSA"/>
    <n v="-0.16724618199999999"/>
    <n v="0.16724618199999999"/>
    <n v="1.8559402999999999E-2"/>
    <n v="0.25378521500000001"/>
  </r>
  <r>
    <x v="39"/>
    <m/>
    <x v="19"/>
    <s v="GLB1"/>
    <n v="-0.173206312"/>
    <n v="0.173206312"/>
    <n v="7.5719899999999996E-4"/>
    <n v="5.6170425000000003E-2"/>
  </r>
  <r>
    <x v="39"/>
    <m/>
    <x v="19"/>
    <s v="B4GALT6"/>
    <n v="-0.26865249400000002"/>
    <n v="0.26865249400000002"/>
    <n v="2.2389408999999999E-2"/>
    <n v="0.27576993399999999"/>
  </r>
  <r>
    <x v="39"/>
    <m/>
    <x v="138"/>
    <s v="PLPP1"/>
    <n v="0.61208576800000003"/>
    <n v="0.61208576800000003"/>
    <n v="3.2986361999999998E-2"/>
    <n v="0.30674497099999998"/>
  </r>
  <r>
    <x v="39"/>
    <m/>
    <x v="132"/>
    <s v="PLPP1"/>
    <n v="0.33535429100000003"/>
    <n v="0.33535429100000003"/>
    <n v="2.4835210999999999E-2"/>
    <n v="0.28643861700000001"/>
  </r>
  <r>
    <x v="39"/>
    <m/>
    <x v="133"/>
    <s v="SGPP2"/>
    <n v="0.14317654199999999"/>
    <n v="0.14317654199999999"/>
    <n v="9.9039550000000007E-3"/>
    <n v="0.20331138300000001"/>
  </r>
  <r>
    <x v="40"/>
    <m/>
    <x v="139"/>
    <s v="B3GNT5"/>
    <n v="0.153292759"/>
    <n v="0.153292759"/>
    <n v="4.7606590999999997E-2"/>
    <n v="0.350762782"/>
  </r>
  <r>
    <x v="40"/>
    <m/>
    <x v="140"/>
    <s v="B4GALT1"/>
    <n v="-0.147547187"/>
    <n v="0.147547187"/>
    <n v="3.4483864000000003E-2"/>
    <n v="0.30921794400000002"/>
  </r>
  <r>
    <x v="40"/>
    <m/>
    <x v="141"/>
    <s v="GCNT2"/>
    <n v="-0.339713822"/>
    <n v="0.339713822"/>
    <n v="1.6228657E-2"/>
    <n v="0.24010305500000001"/>
  </r>
  <r>
    <x v="40"/>
    <m/>
    <x v="90"/>
    <s v="B3GALT2"/>
    <n v="0.83320191600000004"/>
    <n v="0.83320191600000004"/>
    <n v="8.349492E-3"/>
    <n v="0.18539280299999999"/>
  </r>
  <r>
    <x v="40"/>
    <m/>
    <x v="142"/>
    <s v="B3GALNT1"/>
    <n v="-0.29163366099999999"/>
    <n v="0.29163366099999999"/>
    <n v="2.5709539999999999E-3"/>
    <n v="0.113399902"/>
  </r>
  <r>
    <x v="41"/>
    <m/>
    <x v="143"/>
    <s v="HEXA"/>
    <n v="0.158934466"/>
    <n v="0.158934466"/>
    <n v="6.2797160000000003E-3"/>
    <n v="0.165613279"/>
  </r>
  <r>
    <x v="42"/>
    <m/>
    <x v="144"/>
    <s v="ST6GALNAC3"/>
    <n v="-0.10141989799999999"/>
    <n v="0.10141989799999999"/>
    <n v="4.7770769999999997E-2"/>
    <n v="0.351179717"/>
  </r>
  <r>
    <x v="42"/>
    <m/>
    <x v="145"/>
    <s v="B3GALT4"/>
    <n v="0.256600983"/>
    <n v="0.256600983"/>
    <n v="2.7209127999999999E-2"/>
    <n v="0.29035814700000001"/>
  </r>
  <r>
    <x v="43"/>
    <m/>
    <x v="146"/>
    <s v="HAGH"/>
    <n v="-0.50719403299999999"/>
    <n v="0.50719403299999999"/>
    <n v="1.6199359E-2"/>
    <n v="0.24010305500000001"/>
  </r>
  <r>
    <x v="43"/>
    <m/>
    <x v="3"/>
    <s v="ALDH2"/>
    <n v="-0.71133454900000004"/>
    <n v="0.71133454900000004"/>
    <n v="9.3700000000000001E-6"/>
    <n v="1.0191278999999999E-2"/>
  </r>
  <r>
    <x v="43"/>
    <m/>
    <x v="23"/>
    <s v="DLAT"/>
    <n v="-0.34528687200000002"/>
    <n v="0.34528687200000002"/>
    <n v="2.1556750000000001E-3"/>
    <n v="0.10805922900000001"/>
  </r>
  <r>
    <x v="43"/>
    <m/>
    <x v="3"/>
    <s v="ACACA"/>
    <n v="0.220712461"/>
    <n v="0.220712461"/>
    <n v="1.1629230000000001E-2"/>
    <n v="0.21814830800000001"/>
  </r>
  <r>
    <x v="43"/>
    <m/>
    <x v="58"/>
    <s v="ACACA"/>
    <n v="-0.26575912600000001"/>
    <n v="0.26575912600000001"/>
    <n v="2.3853609999999999E-3"/>
    <n v="0.10965939600000001"/>
  </r>
  <r>
    <x v="43"/>
    <m/>
    <x v="147"/>
    <s v="ME3"/>
    <n v="-0.17970971999999999"/>
    <n v="0.17970971999999999"/>
    <n v="3.5724699999999998E-2"/>
    <n v="0.31350072699999998"/>
  </r>
  <r>
    <x v="43"/>
    <m/>
    <x v="5"/>
    <s v="PDHA1"/>
    <n v="0.31287770199999998"/>
    <n v="0.31287770199999998"/>
    <n v="2.0453388999999999E-2"/>
    <n v="0.25818887899999998"/>
  </r>
  <r>
    <x v="44"/>
    <m/>
    <x v="148"/>
    <s v="ACAT1"/>
    <n v="-0.29777162299999999"/>
    <n v="0.29777162299999999"/>
    <n v="4.1070220999999997E-2"/>
    <n v="0.33513300600000001"/>
  </r>
  <r>
    <x v="45"/>
    <m/>
    <x v="149"/>
    <s v="ACSS2"/>
    <n v="-9.1161362999999995E-2"/>
    <n v="9.1161362999999995E-2"/>
    <n v="9.6824900000000002E-3"/>
    <n v="0.20129712599999999"/>
  </r>
  <r>
    <x v="45"/>
    <m/>
    <x v="59"/>
    <s v="ACSS2"/>
    <n v="0.249342227"/>
    <n v="0.249342227"/>
    <n v="5.3725780000000002E-3"/>
    <n v="0.15941903900000001"/>
  </r>
  <r>
    <x v="45"/>
    <m/>
    <x v="59"/>
    <s v="ACADS"/>
    <n v="-0.31269410399999997"/>
    <n v="0.31269410399999997"/>
    <n v="3.2945373999999999E-2"/>
    <n v="0.30674497099999998"/>
  </r>
  <r>
    <x v="45"/>
    <m/>
    <x v="59"/>
    <s v="PCCA"/>
    <n v="-0.36387256400000001"/>
    <n v="0.36387256400000001"/>
    <n v="7.0476399999999998E-4"/>
    <n v="5.4778607999999999E-2"/>
  </r>
  <r>
    <x v="45"/>
    <m/>
    <x v="59"/>
    <s v="ACACA"/>
    <n v="-0.23727932400000001"/>
    <n v="0.23727932400000001"/>
    <n v="1.144349E-3"/>
    <n v="7.1189126000000005E-2"/>
  </r>
  <r>
    <x v="45"/>
    <m/>
    <x v="59"/>
    <s v="DBT"/>
    <n v="-0.181198949"/>
    <n v="0.181198949"/>
    <n v="7.790323E-3"/>
    <n v="0.176580662"/>
  </r>
  <r>
    <x v="45"/>
    <m/>
    <x v="24"/>
    <s v="ACOX1"/>
    <n v="0.208883864"/>
    <n v="0.208883864"/>
    <n v="2.9233451000000001E-2"/>
    <n v="0.29725228599999998"/>
  </r>
  <r>
    <x v="45"/>
    <m/>
    <x v="150"/>
    <s v="ECHDC1"/>
    <n v="-0.159847032"/>
    <n v="0.159847032"/>
    <n v="1.0582087E-2"/>
    <n v="0.208057667"/>
  </r>
  <r>
    <x v="45"/>
    <m/>
    <x v="150"/>
    <s v="ACSS2"/>
    <n v="-0.119893448"/>
    <n v="0.119893448"/>
    <n v="4.4677913999999999E-2"/>
    <n v="0.34012037499999997"/>
  </r>
  <r>
    <x v="46"/>
    <m/>
    <x v="151"/>
    <s v="ACAT1"/>
    <n v="0.133849417"/>
    <n v="0.133849417"/>
    <n v="7.4988989999999998E-3"/>
    <n v="0.175246966"/>
  </r>
  <r>
    <x v="46"/>
    <m/>
    <x v="62"/>
    <s v="ACAT1"/>
    <n v="-0.24812582699999999"/>
    <n v="0.24812582699999999"/>
    <n v="1.42907E-2"/>
    <n v="0.22977756199999999"/>
  </r>
  <r>
    <x v="46"/>
    <m/>
    <x v="152"/>
    <s v="OXCT1"/>
    <n v="-0.225923189"/>
    <n v="0.225923189"/>
    <n v="5.7879530000000002E-3"/>
    <n v="0.16427719299999999"/>
  </r>
  <r>
    <x v="47"/>
    <m/>
    <x v="153"/>
    <s v="SHMT1"/>
    <n v="0.306120964"/>
    <n v="0.306120964"/>
    <n v="1.4481393E-2"/>
    <n v="0.23038882099999999"/>
  </r>
  <r>
    <x v="47"/>
    <m/>
    <x v="154"/>
    <s v="MTHFD2"/>
    <n v="0.348295242"/>
    <n v="0.348295242"/>
    <n v="8.6879700000000004E-4"/>
    <n v="6.0923375000000002E-2"/>
  </r>
  <r>
    <x v="47"/>
    <m/>
    <x v="155"/>
    <s v="MTHFD2"/>
    <n v="0.16293654299999999"/>
    <n v="0.16293654299999999"/>
    <n v="3.5487680000000001E-2"/>
    <n v="0.31350072699999998"/>
  </r>
  <r>
    <x v="48"/>
    <m/>
    <x v="156"/>
    <s v="PNPO"/>
    <n v="-0.21674811199999999"/>
    <n v="0.21674811199999999"/>
    <n v="5.5978199999999999E-4"/>
    <n v="4.8535821999999999E-2"/>
  </r>
  <r>
    <x v="48"/>
    <m/>
    <x v="157"/>
    <s v="PHOSPHO2"/>
    <n v="-0.385785502"/>
    <n v="0.385785502"/>
    <n v="1.3210171999999999E-2"/>
    <n v="0.22329868"/>
  </r>
  <r>
    <x v="49"/>
    <m/>
    <x v="158"/>
    <s v="NADK2"/>
    <n v="-0.114043858"/>
    <n v="0.114043858"/>
    <n v="3.3464685000000001E-2"/>
    <n v="0.307710339"/>
  </r>
  <r>
    <x v="49"/>
    <m/>
    <x v="159"/>
    <s v="SARM1"/>
    <n v="0.51419451100000002"/>
    <n v="0.51419451100000002"/>
    <n v="1.2765537E-2"/>
    <n v="0.22281664500000001"/>
  </r>
  <r>
    <x v="49"/>
    <m/>
    <x v="160"/>
    <s v="SARM1"/>
    <n v="-0.21327284099999999"/>
    <n v="0.21327284099999999"/>
    <n v="1.1786754E-2"/>
    <n v="0.219839808"/>
  </r>
  <r>
    <x v="49"/>
    <m/>
    <x v="161"/>
    <s v="SARM1"/>
    <n v="7.9193383000000006E-2"/>
    <n v="7.9193383000000006E-2"/>
    <n v="1.9928880999999999E-2"/>
    <n v="0.25710619499999998"/>
  </r>
  <r>
    <x v="49"/>
    <m/>
    <x v="159"/>
    <s v="NADK2"/>
    <n v="0.21428779000000001"/>
    <n v="0.21428779000000001"/>
    <n v="3.4120332000000003E-2"/>
    <n v="0.308500726"/>
  </r>
  <r>
    <x v="49"/>
    <m/>
    <x v="161"/>
    <s v="NADK2"/>
    <n v="5.7922005999999998E-2"/>
    <n v="5.7922005999999998E-2"/>
    <n v="7.1970339999999997E-3"/>
    <n v="0.171468027"/>
  </r>
  <r>
    <x v="49"/>
    <m/>
    <x v="159"/>
    <s v="NMNAT2"/>
    <n v="-2.0556369229999998"/>
    <n v="2.0556369229999998"/>
    <n v="4.6499999999999999E-5"/>
    <n v="1.7647493E-2"/>
  </r>
  <r>
    <x v="49"/>
    <m/>
    <x v="161"/>
    <s v="NADSYN1"/>
    <n v="-5.0297758999999997E-2"/>
    <n v="5.0297758999999997E-2"/>
    <n v="8.8794270000000005E-3"/>
    <n v="0.194513081"/>
  </r>
  <r>
    <x v="49"/>
    <m/>
    <x v="162"/>
    <s v="NMNAT2"/>
    <n v="0.41446086199999999"/>
    <n v="0.41446086199999999"/>
    <n v="1.2476087E-2"/>
    <n v="0.22281664500000001"/>
  </r>
  <r>
    <x v="49"/>
    <m/>
    <x v="163"/>
    <s v="NMNAT2"/>
    <n v="-1.4018611439999999"/>
    <n v="1.4018611439999999"/>
    <n v="3.8571950000000001E-2"/>
    <n v="0.32448155899999997"/>
  </r>
  <r>
    <x v="49"/>
    <m/>
    <x v="164"/>
    <s v="BST1"/>
    <n v="-8.3635235000000002E-2"/>
    <n v="8.3635235000000002E-2"/>
    <n v="1.7590614000000001E-2"/>
    <n v="0.25072385400000002"/>
  </r>
  <r>
    <x v="49"/>
    <m/>
    <x v="33"/>
    <s v="NMNAT2"/>
    <n v="0.75380548000000003"/>
    <n v="0.75380548000000003"/>
    <n v="5.9600300000000001E-4"/>
    <n v="4.9880885999999999E-2"/>
  </r>
  <r>
    <x v="50"/>
    <m/>
    <x v="165"/>
    <s v="COASY"/>
    <n v="1.56E-17"/>
    <n v="1.55567E-17"/>
    <n v="1.6256977999999998E-2"/>
    <n v="0.24010305500000001"/>
  </r>
  <r>
    <x v="51"/>
    <m/>
    <x v="5"/>
    <s v="PDHA1"/>
    <n v="0.31287770199999998"/>
    <n v="0.31287770199999998"/>
    <n v="2.0453388999999999E-2"/>
    <n v="0.25818887899999998"/>
  </r>
  <r>
    <x v="51"/>
    <m/>
    <x v="166"/>
    <s v="DLD"/>
    <n v="-0.20971088800000001"/>
    <n v="0.20971088800000001"/>
    <n v="3.1862329000000002E-2"/>
    <n v="0.30674497099999998"/>
  </r>
  <r>
    <x v="51"/>
    <m/>
    <x v="5"/>
    <s v="DHTKD1"/>
    <n v="-0.32132507999999999"/>
    <n v="0.32132507999999999"/>
    <n v="2.4038248000000002E-2"/>
    <n v="0.28108855500000002"/>
  </r>
  <r>
    <x v="52"/>
    <m/>
    <x v="167"/>
    <s v="MOCS1"/>
    <n v="-0.62567136000000001"/>
    <n v="0.62567136000000001"/>
    <n v="3.0596619999999999E-3"/>
    <n v="0.12641440700000001"/>
  </r>
  <r>
    <x v="53"/>
    <m/>
    <x v="168"/>
    <s v="RDH13"/>
    <n v="0.47304425500000002"/>
    <n v="0.47304425500000002"/>
    <n v="3.3326430999999997E-2"/>
    <n v="0.307710339"/>
  </r>
  <r>
    <x v="54"/>
    <m/>
    <x v="169"/>
    <s v="UROS"/>
    <n v="-0.22679002300000001"/>
    <n v="0.22679002300000001"/>
    <n v="7.0597580000000002E-3"/>
    <n v="0.16943419000000001"/>
  </r>
  <r>
    <x v="54"/>
    <m/>
    <x v="170"/>
    <s v="CPOX"/>
    <n v="-0.15817300100000001"/>
    <n v="0.15817300100000001"/>
    <n v="1.9049442E-2"/>
    <n v="0.25378521500000001"/>
  </r>
  <r>
    <x v="54"/>
    <m/>
    <x v="171"/>
    <s v="COX10"/>
    <n v="0.48060325799999998"/>
    <n v="0.48060325799999998"/>
    <n v="5.9595610000000004E-3"/>
    <n v="0.165613279"/>
  </r>
  <r>
    <x v="54"/>
    <m/>
    <x v="172"/>
    <s v="BLVRA"/>
    <n v="0.20257679000000001"/>
    <n v="0.20257679000000001"/>
    <n v="2.6560716000000002E-2"/>
    <n v="0.29035814700000001"/>
  </r>
  <r>
    <x v="54"/>
    <m/>
    <x v="173"/>
    <s v="HMOX1"/>
    <n v="-0.64960773900000002"/>
    <n v="0.64960773900000002"/>
    <n v="4.3717269999999997E-3"/>
    <n v="0.14269316700000001"/>
  </r>
  <r>
    <x v="55"/>
    <m/>
    <x v="174"/>
    <s v="PDSS1"/>
    <n v="-0.371561637"/>
    <n v="0.371561637"/>
    <n v="4.6733381999999997E-2"/>
    <n v="0.349255388"/>
  </r>
  <r>
    <x v="55"/>
    <m/>
    <x v="175"/>
    <s v="CHURC1-FNTB"/>
    <n v="-0.17362519800000001"/>
    <n v="0.17362519800000001"/>
    <n v="2.5806829999999999E-2"/>
    <n v="0.29035814700000001"/>
  </r>
  <r>
    <x v="55"/>
    <m/>
    <x v="176"/>
    <s v="CHURC1-FNTB"/>
    <n v="0.221689944"/>
    <n v="0.221689944"/>
    <n v="1.0772594E-2"/>
    <n v="0.208057667"/>
  </r>
  <r>
    <x v="55"/>
    <m/>
    <x v="177"/>
    <s v="IDI1"/>
    <n v="-0.50438516799999999"/>
    <n v="0.50438516799999999"/>
    <n v="4.2981693000000001E-2"/>
    <n v="0.33945918000000003"/>
  </r>
  <r>
    <x v="56"/>
    <m/>
    <x v="178"/>
    <s v="MPST"/>
    <n v="-0.24355532799999999"/>
    <n v="0.24355532799999999"/>
    <n v="2.0519102000000001E-2"/>
    <n v="0.25818887899999998"/>
  </r>
  <r>
    <x v="56"/>
    <m/>
    <x v="178"/>
    <s v="SUOX"/>
    <n v="-0.19834713500000001"/>
    <n v="0.19834713500000001"/>
    <n v="2.6597534999999999E-2"/>
    <n v="0.29035814700000001"/>
  </r>
  <r>
    <x v="57"/>
    <m/>
    <x v="179"/>
    <s v="GSTO2"/>
    <n v="0.181012743"/>
    <n v="0.181012743"/>
    <n v="3.3753459999999999E-2"/>
    <n v="0.307710339"/>
  </r>
  <r>
    <x v="57"/>
    <m/>
    <x v="180"/>
    <s v="CYP1B1"/>
    <n v="-0.45715434300000002"/>
    <n v="0.45715434300000002"/>
    <n v="2.9095660000000001E-3"/>
    <n v="0.121754162"/>
  </r>
  <r>
    <x v="58"/>
    <m/>
    <x v="181"/>
    <s v="HPRT1"/>
    <n v="-0.16332493000000001"/>
    <n v="0.16332493000000001"/>
    <n v="2.6333428999999998E-2"/>
    <n v="0.29035814700000001"/>
  </r>
  <r>
    <x v="58"/>
    <m/>
    <x v="182"/>
    <s v="IMPDH1"/>
    <n v="-0.39979249"/>
    <n v="0.39979249"/>
    <n v="3.5040687000000001E-2"/>
    <n v="0.31249399300000003"/>
  </r>
  <r>
    <x v="58"/>
    <m/>
    <x v="183"/>
    <s v="GMPS"/>
    <n v="8.8217410999999996E-2"/>
    <n v="8.8217410999999996E-2"/>
    <n v="3.5705448000000001E-2"/>
    <n v="0.31350072699999998"/>
  </r>
  <r>
    <x v="58"/>
    <m/>
    <x v="43"/>
    <s v="UMPS"/>
    <n v="-0.29417890800000002"/>
    <n v="0.29417890800000002"/>
    <n v="4.8699999999999998E-5"/>
    <n v="1.7647493E-2"/>
  </r>
  <r>
    <x v="58"/>
    <m/>
    <x v="47"/>
    <s v="DPYD"/>
    <n v="-0.204328975"/>
    <n v="0.204328975"/>
    <n v="7.6241019999999998E-3"/>
    <n v="0.175246966"/>
  </r>
  <r>
    <x v="58"/>
    <m/>
    <x v="184"/>
    <s v="UCKL1"/>
    <n v="-0.312520943"/>
    <n v="0.312520943"/>
    <n v="2.8621523999999999E-2"/>
    <n v="0.29377563800000001"/>
  </r>
  <r>
    <x v="58"/>
    <m/>
    <x v="184"/>
    <s v="UMPS"/>
    <n v="-0.28449295499999999"/>
    <n v="0.28449295499999999"/>
    <n v="1.9589755E-2"/>
    <n v="0.25598808299999998"/>
  </r>
  <r>
    <x v="58"/>
    <m/>
    <x v="40"/>
    <s v="RRM2B"/>
    <n v="-0.47953641600000002"/>
    <n v="0.47953641600000002"/>
    <n v="1.3272042E-2"/>
    <n v="0.22329868"/>
  </r>
  <r>
    <x v="58"/>
    <m/>
    <x v="31"/>
    <s v="NME6"/>
    <n v="-0.168859171"/>
    <n v="0.168859171"/>
    <n v="3.860236E-3"/>
    <n v="0.13665022499999999"/>
  </r>
  <r>
    <x v="59"/>
    <m/>
    <x v="185"/>
    <s v="TRPC6"/>
    <n v="0.427750729"/>
    <n v="0.427750729"/>
    <n v="2.0633275E-2"/>
    <n v="0.25818887899999998"/>
  </r>
  <r>
    <x v="60"/>
    <m/>
    <x v="186"/>
    <s v="JUN"/>
    <n v="0.39227860199999998"/>
    <n v="0.39227860199999998"/>
    <n v="2.3345438999999999E-2"/>
    <n v="0.27767641399999998"/>
  </r>
  <r>
    <x v="61"/>
    <m/>
    <x v="187"/>
    <s v="HIF1A"/>
    <n v="-0.17845883900000001"/>
    <n v="0.17845883900000001"/>
    <n v="2.9557100000000001E-4"/>
    <n v="4.2726105E-2"/>
  </r>
  <r>
    <x v="62"/>
    <m/>
    <x v="110"/>
    <s v="PIKFYVE"/>
    <n v="-0.10434873"/>
    <n v="0.10434873"/>
    <n v="2.3174469999999998E-3"/>
    <n v="0.10805922900000001"/>
  </r>
  <r>
    <x v="62"/>
    <m/>
    <x v="188"/>
    <s v="MTM1"/>
    <n v="6.2483230000000001E-2"/>
    <n v="6.2483230000000001E-2"/>
    <n v="4.1983589000000002E-2"/>
    <n v="0.33669394499999999"/>
  </r>
  <r>
    <x v="62"/>
    <m/>
    <x v="189"/>
    <s v="CDIPT"/>
    <n v="0.21331737200000001"/>
    <n v="0.21331737200000001"/>
    <n v="4.5328542999999999E-2"/>
    <n v="0.34012037499999997"/>
  </r>
  <r>
    <x v="62"/>
    <m/>
    <x v="110"/>
    <s v="PTEN"/>
    <n v="-0.17010087800000001"/>
    <n v="0.17010087800000001"/>
    <n v="2.7310034E-2"/>
    <n v="0.29035814700000001"/>
  </r>
  <r>
    <x v="62"/>
    <m/>
    <x v="190"/>
    <s v="PLCD3"/>
    <n v="0.53322039700000001"/>
    <n v="0.53322039700000001"/>
    <n v="3.4929215999999999E-2"/>
    <n v="0.31235331999999999"/>
  </r>
  <r>
    <x v="62"/>
    <m/>
    <x v="189"/>
    <s v="INPP4A"/>
    <n v="-0.123529681"/>
    <n v="0.123529681"/>
    <n v="5.2922790000000004E-3"/>
    <n v="0.15847705600000001"/>
  </r>
  <r>
    <x v="62"/>
    <m/>
    <x v="191"/>
    <s v="PTEN"/>
    <n v="0.27945660700000002"/>
    <n v="0.27945660700000002"/>
    <n v="2.2819687000000002E-2"/>
    <n v="0.27761394"/>
  </r>
  <r>
    <x v="62"/>
    <m/>
    <x v="110"/>
    <s v="INPP5B"/>
    <n v="8.9965522000000006E-2"/>
    <n v="8.9965522000000006E-2"/>
    <n v="3.4344096999999997E-2"/>
    <n v="0.30881303300000001"/>
  </r>
  <r>
    <x v="62"/>
    <m/>
    <x v="110"/>
    <s v="IMPA1"/>
    <n v="-7.4395924000000002E-2"/>
    <n v="7.4395924000000002E-2"/>
    <n v="4.9366344E-2"/>
    <n v="0.35486563799999998"/>
  </r>
  <r>
    <x v="62"/>
    <m/>
    <x v="192"/>
    <s v="PIP4P2"/>
    <n v="-0.52320913599999996"/>
    <n v="0.52320913599999996"/>
    <n v="1.4734353E-2"/>
    <n v="0.23038882099999999"/>
  </r>
  <r>
    <x v="62"/>
    <m/>
    <x v="193"/>
    <s v="IPMK"/>
    <n v="-0.30616049099999998"/>
    <n v="0.30616049099999998"/>
    <n v="6.6369710000000002E-3"/>
    <n v="0.165613279"/>
  </r>
  <r>
    <x v="62"/>
    <m/>
    <x v="194"/>
    <s v="ITPK1"/>
    <n v="-0.30267122200000002"/>
    <n v="0.30267122200000002"/>
    <n v="2.5994771999999999E-2"/>
    <n v="0.29035814700000001"/>
  </r>
  <r>
    <x v="62"/>
    <m/>
    <x v="190"/>
    <s v="INPP4A"/>
    <n v="0.27812699499999999"/>
    <n v="0.27812699499999999"/>
    <n v="2.4192699999999999E-4"/>
    <n v="4.2726105E-2"/>
  </r>
  <r>
    <x v="63"/>
    <m/>
    <x v="195"/>
    <s v="SESN3"/>
    <n v="-0.47061990199999998"/>
    <n v="0.47061990199999998"/>
    <n v="4.0396709000000003E-2"/>
    <n v="0.33046330000000002"/>
  </r>
  <r>
    <x v="63"/>
    <m/>
    <x v="195"/>
    <s v="COP1"/>
    <n v="-0.237343785"/>
    <n v="0.237343785"/>
    <n v="5.0795300000000001E-4"/>
    <n v="4.6054382999999997E-2"/>
  </r>
  <r>
    <x v="64"/>
    <m/>
    <x v="196"/>
    <s v="PRKN"/>
    <n v="-0.72357598400000001"/>
    <n v="0.72357598400000001"/>
    <n v="1.7536913000000001E-2"/>
    <n v="0.25072385400000002"/>
  </r>
  <r>
    <x v="64"/>
    <m/>
    <x v="195"/>
    <s v="BNIP3L"/>
    <n v="-0.62494322099999999"/>
    <n v="0.62494322099999999"/>
    <n v="4.7150629999999999E-2"/>
    <n v="0.349255388"/>
  </r>
  <r>
    <x v="65"/>
    <m/>
    <x v="185"/>
    <s v="HIF1A"/>
    <n v="0.277402176"/>
    <n v="0.277402176"/>
    <n v="2.2743949999999998E-3"/>
    <n v="0.10805922900000001"/>
  </r>
  <r>
    <x v="65"/>
    <m/>
    <x v="197"/>
    <s v="PPARG"/>
    <n v="-0.43974439500000001"/>
    <n v="0.43974439500000001"/>
    <n v="1.1491819E-2"/>
    <n v="0.216816749"/>
  </r>
  <r>
    <x v="66"/>
    <m/>
    <x v="198"/>
    <s v="BCL2A1"/>
    <n v="-0.50568882400000004"/>
    <n v="0.50568882400000004"/>
    <n v="2.8140963000000001E-2"/>
    <n v="0.29116463300000001"/>
  </r>
  <r>
    <x v="66"/>
    <m/>
    <x v="199"/>
    <s v="TP53"/>
    <n v="0.16016061500000001"/>
    <n v="0.16016061500000001"/>
    <n v="1.8672830000000001E-2"/>
    <n v="0.25378521500000001"/>
  </r>
  <r>
    <x v="66"/>
    <m/>
    <x v="199"/>
    <s v="FASLG"/>
    <n v="0.46653130500000001"/>
    <n v="0.46653130500000001"/>
    <n v="3.3414959999999998E-3"/>
    <n v="0.13074894000000001"/>
  </r>
  <r>
    <x v="66"/>
    <m/>
    <x v="195"/>
    <s v="BID"/>
    <n v="-0.28726183500000002"/>
    <n v="0.28726183500000002"/>
    <n v="7.0487200000000005E-4"/>
    <n v="5.4778607999999999E-2"/>
  </r>
  <r>
    <x v="67"/>
    <m/>
    <x v="195"/>
    <s v="SESN3"/>
    <n v="-0.47061990199999998"/>
    <n v="0.47061990199999998"/>
    <n v="4.0396709000000003E-2"/>
    <n v="0.33046330000000002"/>
  </r>
  <r>
    <x v="67"/>
    <m/>
    <x v="200"/>
    <s v="EHMT2"/>
    <n v="0.172495759"/>
    <n v="0.172495759"/>
    <n v="3.1225725999999999E-2"/>
    <n v="0.30674497099999998"/>
  </r>
  <r>
    <x v="68"/>
    <m/>
    <x v="201"/>
    <s v="MYC"/>
    <n v="0.13863447800000001"/>
    <n v="0.13863447800000001"/>
    <n v="3.7620999999999998E-4"/>
    <n v="4.2726105E-2"/>
  </r>
  <r>
    <x v="69"/>
    <m/>
    <x v="202"/>
    <s v="CCND1"/>
    <n v="-0.22680333499999999"/>
    <n v="0.22680333499999999"/>
    <n v="1.8988194999999999E-2"/>
    <n v="0.25378521500000001"/>
  </r>
  <r>
    <x v="69"/>
    <m/>
    <x v="202"/>
    <s v="CCND1"/>
    <n v="-0.22680333499999999"/>
    <n v="0.22680333499999999"/>
    <n v="1.8988194999999999E-2"/>
    <n v="0.25378521500000001"/>
  </r>
  <r>
    <x v="70"/>
    <m/>
    <x v="203"/>
    <s v="JAG1"/>
    <n v="-0.33061224700000003"/>
    <n v="0.33061224700000003"/>
    <n v="9.3656959999999997E-3"/>
    <n v="0.19850409899999999"/>
  </r>
  <r>
    <x v="70"/>
    <m/>
    <x v="204"/>
    <s v="PPARGC1A"/>
    <n v="-1.408961331"/>
    <n v="1.408961331"/>
    <n v="4.144722E-3"/>
    <n v="0.13665022499999999"/>
  </r>
  <r>
    <x v="71"/>
    <m/>
    <x v="205"/>
    <s v="CTSK"/>
    <n v="-0.152077185"/>
    <n v="0.152077185"/>
    <n v="3.0191658E-2"/>
    <n v="0.30321714799999999"/>
  </r>
  <r>
    <x v="71"/>
    <m/>
    <x v="185"/>
    <s v="CTSK"/>
    <n v="0.32971254700000002"/>
    <n v="0.32971254700000002"/>
    <n v="8.2309600000000005E-4"/>
    <n v="5.9701922999999997E-2"/>
  </r>
  <r>
    <x v="71"/>
    <m/>
    <x v="206"/>
    <s v="FOS"/>
    <n v="-0.14039237900000001"/>
    <n v="0.14039237900000001"/>
    <n v="1.946082E-3"/>
    <n v="0.102451784"/>
  </r>
  <r>
    <x v="71"/>
    <m/>
    <x v="207"/>
    <s v="PPP3CA"/>
    <n v="-9.7066998000000002E-2"/>
    <n v="9.7066998000000002E-2"/>
    <n v="3.4420739999999998E-3"/>
    <n v="0.131733196"/>
  </r>
  <r>
    <x v="72"/>
    <m/>
    <x v="208"/>
    <s v="CCND1"/>
    <n v="1.5308351440000001"/>
    <n v="1.5308351440000001"/>
    <n v="4.6647800000000003E-3"/>
    <n v="0.146219191"/>
  </r>
  <r>
    <x v="72"/>
    <m/>
    <x v="199"/>
    <s v="CCND1"/>
    <n v="0.33994840100000001"/>
    <n v="0.33994840100000001"/>
    <n v="3.2947935999999997E-2"/>
    <n v="0.30674497099999998"/>
  </r>
  <r>
    <x v="73"/>
    <m/>
    <x v="209"/>
    <s v="ENPEP"/>
    <n v="0.20308986400000001"/>
    <n v="0.20308986400000001"/>
    <n v="1.7889252000000001E-2"/>
    <n v="0.25278369299999998"/>
  </r>
  <r>
    <x v="73"/>
    <m/>
    <x v="210"/>
    <s v="ACE"/>
    <n v="-0.58166774099999996"/>
    <n v="0.58166774099999996"/>
    <n v="1.04048E-4"/>
    <n v="3.085734E-2"/>
  </r>
  <r>
    <x v="73"/>
    <m/>
    <x v="211"/>
    <s v="ANPEP"/>
    <n v="1.99E-17"/>
    <n v="1.99329E-17"/>
    <n v="1.84329E-4"/>
    <n v="4.2726105E-2"/>
  </r>
  <r>
    <x v="74"/>
    <m/>
    <x v="205"/>
    <s v="CXCL8"/>
    <n v="-0.61501374799999997"/>
    <n v="0.61501374799999997"/>
    <n v="6.7990749999999999E-3"/>
    <n v="0.165613279"/>
  </r>
  <r>
    <x v="75"/>
    <m/>
    <x v="185"/>
    <s v="IL10"/>
    <n v="0.47970207300000001"/>
    <n v="0.47970207300000001"/>
    <n v="3.3938639999999999E-2"/>
    <n v="0.307710339"/>
  </r>
  <r>
    <x v="76"/>
    <m/>
    <x v="188"/>
    <s v="VAV3"/>
    <n v="0.12156550100000001"/>
    <n v="0.12156550100000001"/>
    <n v="3.1522834E-2"/>
    <n v="0.30674497099999998"/>
  </r>
  <r>
    <x v="77"/>
    <m/>
    <x v="198"/>
    <s v="CXCL1"/>
    <n v="-0.598652038"/>
    <n v="0.598652038"/>
    <n v="1.8199805999999999E-2"/>
    <n v="0.25278369299999998"/>
  </r>
  <r>
    <x v="77"/>
    <m/>
    <x v="198"/>
    <s v="S100A8"/>
    <n v="-0.48912459600000002"/>
    <n v="0.48912459600000002"/>
    <n v="3.9111053E-2"/>
    <n v="0.326492265"/>
  </r>
  <r>
    <x v="77"/>
    <m/>
    <x v="205"/>
    <s v="CXCL8"/>
    <n v="-0.61501374799999997"/>
    <n v="0.61501374799999997"/>
    <n v="6.7990749999999999E-3"/>
    <n v="0.165613279"/>
  </r>
  <r>
    <x v="77"/>
    <m/>
    <x v="205"/>
    <s v="CXCL10"/>
    <n v="-0.56578400500000003"/>
    <n v="0.56578400500000003"/>
    <n v="2.7725364999999998E-2"/>
    <n v="0.29116463300000001"/>
  </r>
  <r>
    <x v="77"/>
    <m/>
    <x v="205"/>
    <s v="PTGS2"/>
    <n v="-0.227893489"/>
    <n v="0.227893489"/>
    <n v="2.4672761000000001E-2"/>
    <n v="0.28557408499999998"/>
  </r>
  <r>
    <x v="77"/>
    <m/>
    <x v="197"/>
    <s v="CXCL8"/>
    <n v="-0.46658352600000003"/>
    <n v="0.46658352600000003"/>
    <n v="4.7115771000000001E-2"/>
    <n v="0.349255388"/>
  </r>
  <r>
    <x v="78"/>
    <m/>
    <x v="212"/>
    <s v="TBX21"/>
    <n v="0.29892431200000003"/>
    <n v="0.29892431200000003"/>
    <n v="4.793004E-3"/>
    <n v="0.147505734"/>
  </r>
  <r>
    <x v="78"/>
    <m/>
    <x v="212"/>
    <s v="IFNG"/>
    <n v="0.426087616"/>
    <n v="0.426087616"/>
    <n v="3.564191E-3"/>
    <n v="0.13219909699999999"/>
  </r>
  <r>
    <x v="78"/>
    <m/>
    <x v="213"/>
    <s v="GATA3"/>
    <n v="-0.20047791600000001"/>
    <n v="0.20047791600000001"/>
    <n v="5.5207709999999998E-3"/>
    <n v="0.16179893200000001"/>
  </r>
  <r>
    <x v="78"/>
    <m/>
    <x v="213"/>
    <s v="IL4"/>
    <n v="-0.33539237300000002"/>
    <n v="0.33539237300000002"/>
    <n v="4.5307379000000002E-2"/>
    <n v="0.34012037499999997"/>
  </r>
  <r>
    <x v="78"/>
    <m/>
    <x v="185"/>
    <s v="IL4"/>
    <n v="-0.87555033599999998"/>
    <n v="0.87555033599999998"/>
    <n v="1.0570994E-2"/>
    <n v="0.208057667"/>
  </r>
  <r>
    <x v="78"/>
    <m/>
    <x v="198"/>
    <s v="IL12RB1"/>
    <n v="0.34324946699999997"/>
    <n v="0.34324946699999997"/>
    <n v="2.3170339000000002E-2"/>
    <n v="0.27767641399999998"/>
  </r>
  <r>
    <x v="78"/>
    <m/>
    <x v="198"/>
    <s v="GATA3"/>
    <n v="0.59787929299999998"/>
    <n v="0.59787929299999998"/>
    <n v="2.6654115999999999E-2"/>
    <n v="0.29035814700000001"/>
  </r>
  <r>
    <x v="78"/>
    <m/>
    <x v="198"/>
    <s v="IL2RA"/>
    <n v="0.66058659799999997"/>
    <n v="0.66058659799999997"/>
    <n v="1.1079653E-2"/>
    <n v="0.21148530900000001"/>
  </r>
  <r>
    <x v="78"/>
    <m/>
    <x v="199"/>
    <s v="TBX21"/>
    <n v="0.39370424599999998"/>
    <n v="0.39370424599999998"/>
    <n v="7.5793290000000001E-3"/>
    <n v="0.175246966"/>
  </r>
  <r>
    <x v="78"/>
    <m/>
    <x v="199"/>
    <s v="IFNG"/>
    <n v="0.45607585699999997"/>
    <n v="0.45607585699999997"/>
    <n v="2.3479990999999999E-2"/>
    <n v="0.27767641399999998"/>
  </r>
  <r>
    <x v="78"/>
    <m/>
    <x v="214"/>
    <s v="GATA3"/>
    <n v="0.544584332"/>
    <n v="0.544584332"/>
    <n v="1.4729661999999999E-2"/>
    <n v="0.23038882099999999"/>
  </r>
  <r>
    <x v="78"/>
    <m/>
    <x v="214"/>
    <s v="IL2RA"/>
    <n v="0.49491254099999998"/>
    <n v="0.49491254099999998"/>
    <n v="2.7308196E-2"/>
    <n v="0.29035814700000001"/>
  </r>
  <r>
    <x v="78"/>
    <m/>
    <x v="214"/>
    <s v="IL4R"/>
    <n v="-0.34261819700000001"/>
    <n v="0.34261819700000001"/>
    <n v="3.5829952999999998E-2"/>
    <n v="0.31353610399999998"/>
  </r>
  <r>
    <x v="79"/>
    <m/>
    <x v="215"/>
    <s v="RORC"/>
    <n v="0.27211388600000003"/>
    <n v="0.27211388600000003"/>
    <n v="4.3160403999999999E-2"/>
    <n v="0.33945918000000003"/>
  </r>
  <r>
    <x v="79"/>
    <m/>
    <x v="216"/>
    <s v="IRF4"/>
    <n v="-1.07582863"/>
    <n v="1.07582863"/>
    <n v="2.6383341000000001E-2"/>
    <n v="0.29035814700000001"/>
  </r>
  <r>
    <x v="79"/>
    <m/>
    <x v="217"/>
    <s v="RORC"/>
    <n v="1.5221002850000001"/>
    <n v="1.5221002850000001"/>
    <n v="1.9629126E-2"/>
    <n v="0.25598808299999998"/>
  </r>
  <r>
    <x v="79"/>
    <m/>
    <x v="217"/>
    <s v="IL23R"/>
    <n v="2.0823367319999999"/>
    <n v="2.0823367319999999"/>
    <n v="3.3926752999999997E-2"/>
    <n v="0.307710339"/>
  </r>
  <r>
    <x v="79"/>
    <m/>
    <x v="187"/>
    <s v="RORC"/>
    <n v="0.52327483200000002"/>
    <n v="0.52327483200000002"/>
    <n v="1.3151916E-2"/>
    <n v="0.22329868"/>
  </r>
  <r>
    <x v="79"/>
    <m/>
    <x v="187"/>
    <s v="HIF1A"/>
    <n v="-0.17845883900000001"/>
    <n v="0.17845883900000001"/>
    <n v="2.9557100000000001E-4"/>
    <n v="4.2726105E-2"/>
  </r>
  <r>
    <x v="79"/>
    <m/>
    <x v="187"/>
    <s v="IL23R"/>
    <n v="0.75820226899999998"/>
    <n v="0.75820226899999998"/>
    <n v="1.3473357E-2"/>
    <n v="0.22437264500000001"/>
  </r>
  <r>
    <x v="79"/>
    <m/>
    <x v="214"/>
    <s v="GATA3"/>
    <n v="0.544584332"/>
    <n v="0.544584332"/>
    <n v="1.4729661999999999E-2"/>
    <n v="0.23038882099999999"/>
  </r>
  <r>
    <x v="79"/>
    <m/>
    <x v="218"/>
    <s v="RORC"/>
    <n v="0.79427783100000005"/>
    <n v="0.79427783100000005"/>
    <n v="1.4935703999999999E-2"/>
    <n v="0.23038882099999999"/>
  </r>
  <r>
    <x v="79"/>
    <m/>
    <x v="219"/>
    <s v="RORC"/>
    <n v="-0.22626385700000001"/>
    <n v="0.22626385700000001"/>
    <n v="3.0887723999999998E-2"/>
    <n v="0.30674497099999998"/>
  </r>
  <r>
    <x v="80"/>
    <m/>
    <x v="185"/>
    <s v="IL4"/>
    <n v="-0.87555033599999998"/>
    <n v="0.87555033599999998"/>
    <n v="1.0570994E-2"/>
    <n v="0.208057667"/>
  </r>
  <r>
    <x v="80"/>
    <m/>
    <x v="185"/>
    <s v="IL10"/>
    <n v="0.47970207300000001"/>
    <n v="0.47970207300000001"/>
    <n v="3.3938639999999999E-2"/>
    <n v="0.307710339"/>
  </r>
  <r>
    <x v="80"/>
    <m/>
    <x v="185"/>
    <s v="TNF"/>
    <n v="-0.27865741999999999"/>
    <n v="0.27865741999999999"/>
    <n v="1.3686744000000001E-2"/>
    <n v="0.22562390399999999"/>
  </r>
  <r>
    <x v="80"/>
    <m/>
    <x v="185"/>
    <s v="CDK4"/>
    <n v="-0.20036438300000001"/>
    <n v="0.20036438300000001"/>
    <n v="3.5481512E-2"/>
    <n v="0.31350072699999998"/>
  </r>
  <r>
    <x v="80"/>
    <m/>
    <x v="198"/>
    <s v="IL10"/>
    <n v="-0.92636841599999997"/>
    <n v="0.92636841599999997"/>
    <n v="6.3948850000000003E-3"/>
    <n v="0.165613279"/>
  </r>
  <r>
    <x v="81"/>
    <m/>
    <x v="220"/>
    <s v="RAPGEF3"/>
    <n v="0.56720530000000002"/>
    <n v="0.56720530000000002"/>
    <n v="3.1082950000000001E-3"/>
    <n v="0.12681842700000001"/>
  </r>
  <r>
    <x v="82"/>
    <m/>
    <x v="221"/>
    <s v="FBP1"/>
    <n v="0.50450133399999997"/>
    <n v="0.50450133399999997"/>
    <n v="2.6875401E-2"/>
    <n v="0.29035814700000001"/>
  </r>
  <r>
    <x v="83"/>
    <m/>
    <x v="222"/>
    <s v="DCT"/>
    <n v="-0.39374381600000002"/>
    <n v="0.39374381600000002"/>
    <n v="4.9539550000000002E-2"/>
    <n v="0.35486563799999998"/>
  </r>
  <r>
    <x v="84"/>
    <m/>
    <x v="223"/>
    <s v="CCND1"/>
    <n v="0.31377649600000002"/>
    <n v="0.31377649600000002"/>
    <n v="4.3934816000000002E-2"/>
    <n v="0.34012037499999997"/>
  </r>
  <r>
    <x v="84"/>
    <m/>
    <x v="198"/>
    <s v="CCND1"/>
    <n v="0.78634624799999997"/>
    <n v="0.78634624799999997"/>
    <n v="1.9733180999999999E-2"/>
    <n v="0.25598808299999998"/>
  </r>
  <r>
    <x v="85"/>
    <m/>
    <x v="224"/>
    <s v="CCND1"/>
    <n v="-0.279722203"/>
    <n v="0.279722203"/>
    <n v="3.7141703999999998E-2"/>
    <n v="0.31986945100000003"/>
  </r>
  <r>
    <x v="86"/>
    <m/>
    <x v="203"/>
    <s v="JUN"/>
    <n v="-0.34780665399999999"/>
    <n v="0.34780665399999999"/>
    <n v="3.7835776000000002E-2"/>
    <n v="0.32246170299999999"/>
  </r>
  <r>
    <x v="86"/>
    <m/>
    <x v="185"/>
    <s v="RGS2"/>
    <n v="0.43328272299999998"/>
    <n v="0.43328272299999998"/>
    <n v="1.5769320000000001E-3"/>
    <n v="8.8743188000000001E-2"/>
  </r>
  <r>
    <x v="87"/>
    <m/>
    <x v="225"/>
    <s v="NCEH1"/>
    <n v="-0.32830226699999998"/>
    <n v="0.32830226699999998"/>
    <n v="2.5286211999999999E-2"/>
    <n v="0.28878959799999998"/>
  </r>
  <r>
    <x v="88"/>
    <m/>
    <x v="200"/>
    <s v="NR4A2"/>
    <n v="-0.294360383"/>
    <n v="0.294360383"/>
    <n v="2.6825056999999999E-2"/>
    <n v="0.29035814700000001"/>
  </r>
  <r>
    <x v="89"/>
    <m/>
    <x v="226"/>
    <s v="ACACB"/>
    <n v="0.25288029400000001"/>
    <n v="0.25288029400000001"/>
    <n v="2.3252825000000001E-2"/>
    <n v="0.27767641399999998"/>
  </r>
  <r>
    <x v="90"/>
    <m/>
    <x v="198"/>
    <s v="ICAM1"/>
    <n v="0.27999396700000001"/>
    <n v="0.27999396700000001"/>
    <n v="3.2107895999999997E-2"/>
    <n v="0.30674497099999998"/>
  </r>
  <r>
    <x v="90"/>
    <m/>
    <x v="227"/>
    <s v="CCND1"/>
    <n v="0.67617384300000005"/>
    <n v="0.67617384300000005"/>
    <n v="4.2524708000000001E-2"/>
    <n v="0.33790994400000002"/>
  </r>
  <r>
    <x v="90"/>
    <m/>
    <x v="199"/>
    <s v="EDN1"/>
    <n v="-0.31813313599999998"/>
    <n v="0.31813313599999998"/>
    <n v="1.2927711E-2"/>
    <n v="0.22329868"/>
  </r>
  <r>
    <x v="91"/>
    <m/>
    <x v="186"/>
    <s v="POMC"/>
    <n v="-1.3535441779999999"/>
    <n v="1.3535441779999999"/>
    <n v="3.6199999999999999E-5"/>
    <n v="1.7647493E-2"/>
  </r>
  <r>
    <x v="91"/>
    <m/>
    <x v="225"/>
    <s v="NCEH1"/>
    <n v="-0.32830226699999998"/>
    <n v="0.32830226699999998"/>
    <n v="2.5286211999999999E-2"/>
    <n v="0.28878959799999998"/>
  </r>
  <r>
    <x v="92"/>
    <m/>
    <x v="223"/>
    <s v="IGF1"/>
    <n v="-0.65571487799999995"/>
    <n v="0.65571487799999995"/>
    <n v="2.2964387999999999E-2"/>
    <n v="0.27761394"/>
  </r>
  <r>
    <x v="93"/>
    <m/>
    <x v="198"/>
    <s v="CXCL1"/>
    <n v="-0.598652038"/>
    <n v="0.598652038"/>
    <n v="1.8199805999999999E-2"/>
    <n v="0.25278369299999998"/>
  </r>
  <r>
    <x v="94"/>
    <m/>
    <x v="228"/>
    <s v="KRAS"/>
    <n v="6.7636505999999999E-2"/>
    <n v="6.7636505999999999E-2"/>
    <n v="4.5162342000000001E-2"/>
    <n v="0.34012037499999997"/>
  </r>
  <r>
    <x v="95"/>
    <m/>
    <x v="229"/>
    <s v="TXN2"/>
    <n v="0.16146231799999999"/>
    <n v="0.16146231799999999"/>
    <n v="4.9794259E-2"/>
    <n v="0.35486563799999998"/>
  </r>
  <r>
    <x v="96"/>
    <m/>
    <x v="198"/>
    <s v="CXCL1"/>
    <n v="-0.598652038"/>
    <n v="0.598652038"/>
    <n v="1.8199805999999999E-2"/>
    <n v="0.25278369299999998"/>
  </r>
  <r>
    <x v="97"/>
    <m/>
    <x v="205"/>
    <s v="CXCL8"/>
    <n v="-0.61501374799999997"/>
    <n v="0.61501374799999997"/>
    <n v="6.7990749999999999E-3"/>
    <n v="0.165613279"/>
  </r>
  <r>
    <x v="98"/>
    <m/>
    <x v="205"/>
    <s v="CXCL8"/>
    <n v="-0.61501374799999997"/>
    <n v="0.61501374799999997"/>
    <n v="6.7990749999999999E-3"/>
    <n v="0.165613279"/>
  </r>
  <r>
    <x v="98"/>
    <m/>
    <x v="201"/>
    <s v="MYC"/>
    <n v="0.13863447800000001"/>
    <n v="0.13863447800000001"/>
    <n v="3.7620999999999998E-4"/>
    <n v="4.2726105E-2"/>
  </r>
  <r>
    <x v="99"/>
    <m/>
    <x v="205"/>
    <s v="CXCL8"/>
    <n v="-0.61501374799999997"/>
    <n v="0.61501374799999997"/>
    <n v="6.7990749999999999E-3"/>
    <n v="0.165613279"/>
  </r>
  <r>
    <x v="99"/>
    <m/>
    <x v="185"/>
    <s v="IL10"/>
    <n v="0.47970207300000001"/>
    <n v="0.47970207300000001"/>
    <n v="3.3938639999999999E-2"/>
    <n v="0.307710339"/>
  </r>
  <r>
    <x v="99"/>
    <m/>
    <x v="198"/>
    <s v="IL10"/>
    <n v="-0.92636841599999997"/>
    <n v="0.92636841599999997"/>
    <n v="6.3948850000000003E-3"/>
    <n v="0.165613279"/>
  </r>
  <r>
    <x v="100"/>
    <m/>
    <x v="230"/>
    <s v="PRKCB"/>
    <n v="-9.5922788999999994E-2"/>
    <n v="9.5922788999999994E-2"/>
    <n v="1.622966E-3"/>
    <n v="8.9785799999999999E-2"/>
  </r>
  <r>
    <x v="101"/>
    <m/>
    <x v="205"/>
    <s v="CXCL8"/>
    <n v="-0.61501374799999997"/>
    <n v="0.61501374799999997"/>
    <n v="6.7990749999999999E-3"/>
    <n v="0.165613279"/>
  </r>
  <r>
    <x v="102"/>
    <m/>
    <x v="231"/>
    <s v="ICAM1"/>
    <n v="-0.21978260299999999"/>
    <n v="0.21978260299999999"/>
    <n v="4.2088357999999999E-2"/>
    <n v="0.33670686100000002"/>
  </r>
  <r>
    <x v="102"/>
    <m/>
    <x v="232"/>
    <s v="ICAM1"/>
    <n v="-7.8890460999999995E-2"/>
    <n v="7.8890460999999995E-2"/>
    <n v="4.8993056E-2"/>
    <n v="0.35486563799999998"/>
  </r>
  <r>
    <x v="103"/>
    <m/>
    <x v="198"/>
    <s v="BCL2"/>
    <n v="0.45986009"/>
    <n v="0.45986009"/>
    <n v="4.5301385E-2"/>
    <n v="0.34012037499999997"/>
  </r>
  <r>
    <x v="103"/>
    <m/>
    <x v="187"/>
    <s v="IL12A"/>
    <n v="0.46707600700000002"/>
    <n v="0.46707600700000002"/>
    <n v="4.1675757000000001E-2"/>
    <n v="0.33523462199999998"/>
  </r>
  <r>
    <x v="104"/>
    <m/>
    <x v="233"/>
    <s v="CD74"/>
    <n v="-0.20293641900000001"/>
    <n v="0.20293641900000001"/>
    <n v="4.5035248E-2"/>
    <n v="0.34012037499999997"/>
  </r>
  <r>
    <x v="104"/>
    <m/>
    <x v="198"/>
    <s v="IL18"/>
    <n v="-0.44911782300000003"/>
    <n v="0.44911782300000003"/>
    <n v="1.2734214000000001E-2"/>
    <n v="0.22281664500000001"/>
  </r>
  <r>
    <x v="104"/>
    <m/>
    <x v="203"/>
    <s v="IL23A"/>
    <n v="0.54249927200000003"/>
    <n v="0.54249927200000003"/>
    <n v="4.437519E-3"/>
    <n v="0.143406546"/>
  </r>
  <r>
    <x v="104"/>
    <m/>
    <x v="234"/>
    <s v="IL23A"/>
    <n v="-0.85945658800000002"/>
    <n v="0.85945658800000002"/>
    <n v="2.5709735000000001E-2"/>
    <n v="0.29035814700000001"/>
  </r>
  <r>
    <x v="105"/>
    <m/>
    <x v="198"/>
    <s v="BCL2"/>
    <n v="0.45986009"/>
    <n v="0.45986009"/>
    <n v="4.5301385E-2"/>
    <n v="0.34012037499999997"/>
  </r>
  <r>
    <x v="105"/>
    <m/>
    <x v="185"/>
    <s v="TNF"/>
    <n v="-0.27865741999999999"/>
    <n v="0.27865741999999999"/>
    <n v="1.3686744000000001E-2"/>
    <n v="0.22562390399999999"/>
  </r>
  <r>
    <x v="106"/>
    <m/>
    <x v="185"/>
    <s v="CXCL8"/>
    <n v="0.69564041499999996"/>
    <n v="0.69564041499999996"/>
    <n v="1.7539379000000001E-2"/>
    <n v="0.25072385400000002"/>
  </r>
  <r>
    <x v="106"/>
    <m/>
    <x v="208"/>
    <s v="CCND1"/>
    <n v="1.5308351440000001"/>
    <n v="1.5308351440000001"/>
    <n v="4.6647800000000003E-3"/>
    <n v="0.146219191"/>
  </r>
  <r>
    <x v="107"/>
    <m/>
    <x v="198"/>
    <s v="ICAM1"/>
    <n v="0.27999396700000001"/>
    <n v="0.27999396700000001"/>
    <n v="3.2107895999999997E-2"/>
    <n v="0.30674497099999998"/>
  </r>
  <r>
    <x v="107"/>
    <m/>
    <x v="235"/>
    <s v="PML"/>
    <n v="0.27104518999999999"/>
    <n v="0.27104518999999999"/>
    <n v="4.6704570000000003E-3"/>
    <n v="0.146219191"/>
  </r>
  <r>
    <x v="108"/>
    <m/>
    <x v="221"/>
    <s v="CDKN1B"/>
    <n v="-0.216005431"/>
    <n v="0.216005431"/>
    <n v="4.5257788E-2"/>
    <n v="0.34012037499999997"/>
  </r>
  <r>
    <x v="109"/>
    <m/>
    <x v="236"/>
    <s v="BAX"/>
    <n v="9.2522304E-2"/>
    <n v="9.2522304E-2"/>
    <n v="3.6858451E-2"/>
    <n v="0.31986945100000003"/>
  </r>
  <r>
    <x v="109"/>
    <m/>
    <x v="198"/>
    <s v="IL2RA"/>
    <n v="0.66058659799999997"/>
    <n v="0.66058659799999997"/>
    <n v="1.1079653E-2"/>
    <n v="0.21148530900000001"/>
  </r>
  <r>
    <x v="110"/>
    <m/>
    <x v="198"/>
    <s v="CXCL1"/>
    <n v="-0.598652038"/>
    <n v="0.598652038"/>
    <n v="1.8199805999999999E-2"/>
    <n v="0.25278369299999998"/>
  </r>
  <r>
    <x v="110"/>
    <m/>
    <x v="185"/>
    <s v="CXCL1"/>
    <n v="0.43765484100000002"/>
    <n v="0.43765484100000002"/>
    <n v="2.1870499999999998E-3"/>
    <n v="0.10805922900000001"/>
  </r>
  <r>
    <x v="110"/>
    <m/>
    <x v="201"/>
    <s v="MYC"/>
    <n v="0.13863447800000001"/>
    <n v="0.13863447800000001"/>
    <n v="3.7620999999999998E-4"/>
    <n v="4.2726105E-2"/>
  </r>
  <r>
    <x v="111"/>
    <m/>
    <x v="198"/>
    <s v="ICAM1"/>
    <n v="0.27999396700000001"/>
    <n v="0.27999396700000001"/>
    <n v="3.2107895999999997E-2"/>
    <n v="0.30674497099999998"/>
  </r>
  <r>
    <x v="111"/>
    <m/>
    <x v="198"/>
    <s v="BCL2"/>
    <n v="0.45986009"/>
    <n v="0.45986009"/>
    <n v="4.5301385E-2"/>
    <n v="0.34012037499999997"/>
  </r>
  <r>
    <x v="112"/>
    <m/>
    <x v="237"/>
    <s v="TRIM5"/>
    <n v="0.53443940199999995"/>
    <n v="0.53443940199999995"/>
    <n v="3.4709110000000001E-3"/>
    <n v="0.131733196"/>
  </r>
  <r>
    <x v="113"/>
    <m/>
    <x v="201"/>
    <s v="MYC"/>
    <n v="0.13863447800000001"/>
    <n v="0.13863447800000001"/>
    <n v="3.7620999999999998E-4"/>
    <n v="4.2726105E-2"/>
  </r>
  <r>
    <x v="113"/>
    <m/>
    <x v="198"/>
    <s v="BCL2"/>
    <n v="0.45986009"/>
    <n v="0.45986009"/>
    <n v="4.5301385E-2"/>
    <n v="0.34012037499999997"/>
  </r>
  <r>
    <x v="113"/>
    <m/>
    <x v="198"/>
    <s v="CCND1"/>
    <n v="0.78634624799999997"/>
    <n v="0.78634624799999997"/>
    <n v="1.9733180999999999E-2"/>
    <n v="0.25598808299999998"/>
  </r>
  <r>
    <x v="113"/>
    <m/>
    <x v="199"/>
    <s v="CCND1"/>
    <n v="0.33994840100000001"/>
    <n v="0.33994840100000001"/>
    <n v="3.2947935999999997E-2"/>
    <n v="0.30674497099999998"/>
  </r>
  <r>
    <x v="113"/>
    <m/>
    <x v="205"/>
    <s v="CXCL8"/>
    <n v="-0.61501374799999997"/>
    <n v="0.61501374799999997"/>
    <n v="6.7990749999999999E-3"/>
    <n v="0.165613279"/>
  </r>
  <r>
    <x v="113"/>
    <m/>
    <x v="238"/>
    <s v="TGFA"/>
    <n v="-0.16130975"/>
    <n v="0.16130975"/>
    <n v="6.2911429999999999E-3"/>
    <n v="0.165613279"/>
  </r>
  <r>
    <x v="113"/>
    <m/>
    <x v="239"/>
    <s v="CSF3R"/>
    <n v="-0.224947011"/>
    <n v="0.224947011"/>
    <n v="2.622966E-3"/>
    <n v="0.11415148999999999"/>
  </r>
  <r>
    <x v="113"/>
    <m/>
    <x v="240"/>
    <s v="MYC"/>
    <n v="0.253288348"/>
    <n v="0.253288348"/>
    <n v="1.0190421E-2"/>
    <n v="0.20788459000000001"/>
  </r>
  <r>
    <x v="113"/>
    <m/>
    <x v="229"/>
    <s v="HMOX1"/>
    <n v="-0.34519925000000001"/>
    <n v="0.34519925000000001"/>
    <n v="3.2696269E-2"/>
    <n v="0.30674497099999998"/>
  </r>
  <r>
    <x v="113"/>
    <m/>
    <x v="241"/>
    <s v="MYC"/>
    <n v="-0.24832611600000001"/>
    <n v="0.24832611600000001"/>
    <n v="5.6736460000000001E-3"/>
    <n v="0.162445435"/>
  </r>
  <r>
    <x v="114"/>
    <m/>
    <x v="240"/>
    <s v="PER2"/>
    <n v="0.17011515199999999"/>
    <n v="0.17011515199999999"/>
    <n v="1.0652142E-2"/>
    <n v="0.208057667"/>
  </r>
  <r>
    <x v="114"/>
    <m/>
    <x v="239"/>
    <s v="ITGAM"/>
    <n v="-0.13755479900000001"/>
    <n v="0.13755479900000001"/>
    <n v="3.2910333E-2"/>
    <n v="0.30674497099999998"/>
  </r>
  <r>
    <x v="115"/>
    <m/>
    <x v="229"/>
    <s v="HMOX1"/>
    <n v="-0.34519925000000001"/>
    <n v="0.34519925000000001"/>
    <n v="3.2696269E-2"/>
    <n v="0.30674497099999998"/>
  </r>
  <r>
    <x v="116"/>
    <m/>
    <x v="201"/>
    <s v="MYC"/>
    <n v="0.13863447800000001"/>
    <n v="0.13863447800000001"/>
    <n v="3.7620999999999998E-4"/>
    <n v="4.2726105E-2"/>
  </r>
  <r>
    <x v="116"/>
    <m/>
    <x v="199"/>
    <s v="CCND1"/>
    <n v="0.33994840100000001"/>
    <n v="0.33994840100000001"/>
    <n v="3.2947935999999997E-2"/>
    <n v="0.30674497099999998"/>
  </r>
  <r>
    <x v="117"/>
    <m/>
    <x v="238"/>
    <s v="VEGFA"/>
    <n v="-0.104585999"/>
    <n v="0.104585999"/>
    <n v="3.0802039999999999E-2"/>
    <n v="0.30674497099999998"/>
  </r>
  <r>
    <x v="117"/>
    <m/>
    <x v="238"/>
    <s v="TGFA"/>
    <n v="-0.16130975"/>
    <n v="0.16130975"/>
    <n v="6.2911429999999999E-3"/>
    <n v="0.165613279"/>
  </r>
  <r>
    <x v="118"/>
    <m/>
    <x v="201"/>
    <s v="MYC"/>
    <n v="0.13863447800000001"/>
    <n v="0.13863447800000001"/>
    <n v="3.7620999999999998E-4"/>
    <n v="4.2726105E-2"/>
  </r>
  <r>
    <x v="119"/>
    <m/>
    <x v="198"/>
    <s v="BCL2"/>
    <n v="0.45986009"/>
    <n v="0.45986009"/>
    <n v="4.5301385E-2"/>
    <n v="0.34012037499999997"/>
  </r>
  <r>
    <x v="120"/>
    <m/>
    <x v="201"/>
    <s v="MYC"/>
    <n v="0.13863447800000001"/>
    <n v="0.13863447800000001"/>
    <n v="3.7620999999999998E-4"/>
    <n v="4.2726105E-2"/>
  </r>
  <r>
    <x v="121"/>
    <m/>
    <x v="198"/>
    <s v="CCND1"/>
    <n v="0.78634624799999997"/>
    <n v="0.78634624799999997"/>
    <n v="1.9733180999999999E-2"/>
    <n v="0.25598808299999998"/>
  </r>
  <r>
    <x v="122"/>
    <m/>
    <x v="201"/>
    <s v="MYC"/>
    <n v="0.13863447800000001"/>
    <n v="0.13863447800000001"/>
    <n v="3.7620999999999998E-4"/>
    <n v="4.2726105E-2"/>
  </r>
  <r>
    <x v="123"/>
    <m/>
    <x v="201"/>
    <s v="MYC"/>
    <n v="0.13863447800000001"/>
    <n v="0.13863447800000001"/>
    <n v="3.7620999999999998E-4"/>
    <n v="4.2726105E-2"/>
  </r>
  <r>
    <x v="123"/>
    <m/>
    <x v="229"/>
    <s v="HMOX1"/>
    <n v="-0.34519925000000001"/>
    <n v="0.34519925000000001"/>
    <n v="3.2696269E-2"/>
    <n v="0.30674497099999998"/>
  </r>
  <r>
    <x v="124"/>
    <m/>
    <x v="201"/>
    <s v="MYC"/>
    <n v="0.13863447800000001"/>
    <n v="0.13863447800000001"/>
    <n v="3.7620999999999998E-4"/>
    <n v="4.2726105E-2"/>
  </r>
  <r>
    <x v="125"/>
    <m/>
    <x v="242"/>
    <s v="PKM"/>
    <n v="0.222451759"/>
    <n v="0.222451759"/>
    <n v="2.0743159000000001E-2"/>
    <n v="0.25841858699999998"/>
  </r>
  <r>
    <x v="126"/>
    <m/>
    <x v="203"/>
    <s v="PLA2G4B"/>
    <n v="0.214890786"/>
    <n v="0.214890786"/>
    <n v="1.0467751000000001E-2"/>
    <n v="0.208057667"/>
  </r>
  <r>
    <x v="127"/>
    <m/>
    <x v="243"/>
    <s v="CD274"/>
    <n v="0.68070850699999996"/>
    <n v="0.68070850699999996"/>
    <n v="1.1559509999999999E-3"/>
    <n v="7.1189126000000005E-2"/>
  </r>
  <r>
    <x v="127"/>
    <m/>
    <x v="198"/>
    <s v="CD274"/>
    <n v="0.69030656300000004"/>
    <n v="0.69030656300000004"/>
    <n v="2.3458085E-2"/>
    <n v="0.27767641399999998"/>
  </r>
  <r>
    <x v="128"/>
    <m/>
    <x v="213"/>
    <s v="IL4"/>
    <n v="-0.33539237300000002"/>
    <n v="0.33539237300000002"/>
    <n v="4.5307379000000002E-2"/>
    <n v="0.34012037499999997"/>
  </r>
  <r>
    <x v="128"/>
    <m/>
    <x v="199"/>
    <s v="IFNG"/>
    <n v="0.45607585699999997"/>
    <n v="0.45607585699999997"/>
    <n v="2.3479990999999999E-2"/>
    <n v="0.27767641399999998"/>
  </r>
  <r>
    <x v="128"/>
    <m/>
    <x v="187"/>
    <s v="RORC"/>
    <n v="0.52327483200000002"/>
    <n v="0.52327483200000002"/>
    <n v="1.3151916E-2"/>
    <n v="0.22329868"/>
  </r>
  <r>
    <x v="128"/>
    <m/>
    <x v="214"/>
    <s v="GATA3"/>
    <n v="0.544584332"/>
    <n v="0.544584332"/>
    <n v="1.4729661999999999E-2"/>
    <n v="0.23038882099999999"/>
  </r>
  <r>
    <x v="128"/>
    <m/>
    <x v="185"/>
    <s v="IL4"/>
    <n v="-0.87555033599999998"/>
    <n v="0.87555033599999998"/>
    <n v="1.0570994E-2"/>
    <n v="0.208057667"/>
  </r>
  <r>
    <x v="129"/>
    <m/>
    <x v="198"/>
    <s v="TGFB1"/>
    <n v="0.34105361499999998"/>
    <n v="0.34105361499999998"/>
    <n v="2.7839157E-2"/>
    <n v="0.29116463300000001"/>
  </r>
  <r>
    <x v="129"/>
    <m/>
    <x v="244"/>
    <s v="PDK2"/>
    <n v="-0.61883111700000004"/>
    <n v="0.61883111700000004"/>
    <n v="4.0307140000000003E-3"/>
    <n v="0.13665022499999999"/>
  </r>
  <r>
    <x v="130"/>
    <m/>
    <x v="205"/>
    <s v="CXCL8"/>
    <n v="-0.61501374799999997"/>
    <n v="0.61501374799999997"/>
    <n v="6.7990749999999999E-3"/>
    <n v="0.165613279"/>
  </r>
  <r>
    <x v="130"/>
    <m/>
    <x v="198"/>
    <s v="ICAM1"/>
    <n v="0.27999396700000001"/>
    <n v="0.27999396700000001"/>
    <n v="3.2107895999999997E-2"/>
    <n v="0.30674497099999998"/>
  </r>
  <r>
    <x v="130"/>
    <m/>
    <x v="198"/>
    <s v="CXCL1"/>
    <n v="-0.598652038"/>
    <n v="0.598652038"/>
    <n v="1.8199805999999999E-2"/>
    <n v="0.25278369299999998"/>
  </r>
  <r>
    <x v="130"/>
    <m/>
    <x v="198"/>
    <s v="IL18"/>
    <n v="-0.44911782300000003"/>
    <n v="0.44911782300000003"/>
    <n v="1.2734214000000001E-2"/>
    <n v="0.22281664500000001"/>
  </r>
  <r>
    <x v="130"/>
    <m/>
    <x v="198"/>
    <s v="BCL2"/>
    <n v="0.45986009"/>
    <n v="0.45986009"/>
    <n v="4.5301385E-2"/>
    <n v="0.34012037499999997"/>
  </r>
  <r>
    <x v="131"/>
    <m/>
    <x v="198"/>
    <s v="ICAM1"/>
    <n v="0.27999396700000001"/>
    <n v="0.27999396700000001"/>
    <n v="3.2107895999999997E-2"/>
    <n v="0.30674497099999998"/>
  </r>
  <r>
    <x v="131"/>
    <m/>
    <x v="205"/>
    <s v="EDN1"/>
    <n v="-0.31734580499999998"/>
    <n v="0.31734580499999998"/>
    <n v="2.4199107000000001E-2"/>
    <n v="0.28108855500000002"/>
  </r>
  <r>
    <x v="131"/>
    <m/>
    <x v="229"/>
    <s v="HMOX1"/>
    <n v="-0.34519925000000001"/>
    <n v="0.34519925000000001"/>
    <n v="3.2696269E-2"/>
    <n v="0.30674497099999998"/>
  </r>
  <r>
    <x v="131"/>
    <m/>
    <x v="229"/>
    <s v="SQSTM1"/>
    <n v="0.275151437"/>
    <n v="0.275151437"/>
    <n v="6.8507300000000002E-4"/>
    <n v="5.4778607999999999E-2"/>
  </r>
  <r>
    <x v="131"/>
    <m/>
    <x v="229"/>
    <s v="TXN2"/>
    <n v="0.16146231799999999"/>
    <n v="0.16146231799999999"/>
    <n v="4.9794259E-2"/>
    <n v="0.35486563799999998"/>
  </r>
  <r>
    <x v="131"/>
    <m/>
    <x v="245"/>
    <s v="NOS3"/>
    <n v="0.97160546400000003"/>
    <n v="0.97160546400000003"/>
    <n v="3.3906379E-2"/>
    <n v="0.3077103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x v="0"/>
    <s v="Cysteine and methionine metabolism"/>
    <s v="ADI1"/>
    <s v="ADI1"/>
    <n v="-1.6000000000000001E-16"/>
    <n v="1.5973300000000001E-16"/>
    <n v="2.19E-14"/>
    <s v="hsa00270"/>
    <n v="7.1399999999999994E-11"/>
  </r>
  <r>
    <x v="1"/>
    <s v="Primary bile acid biosynthesis"/>
    <s v="HSD17B4"/>
    <s v="HSD17B4"/>
    <n v="2.1199999999999999E-16"/>
    <n v="2.1182000000000001E-16"/>
    <n v="5.7599999999999997E-7"/>
    <s v="hsa00120"/>
    <n v="9.4080800000000001E-4"/>
  </r>
  <r>
    <x v="2"/>
    <s v="Glutathione metabolism KEGG"/>
    <s v="CHAC2"/>
    <s v="PRDX6"/>
    <n v="-0.77667816099999998"/>
    <n v="0.77667816099999998"/>
    <n v="2.04E-6"/>
    <s v="hsa00480"/>
    <n v="2.2141880000000002E-3"/>
  </r>
  <r>
    <x v="3"/>
    <s v="Pyrimidine metabolism"/>
    <s v="UMPS"/>
    <s v="UMPS"/>
    <n v="-3.0499999999999998E-16"/>
    <n v="3.0548200000000002E-16"/>
    <n v="4.07E-6"/>
    <s v="hsa00240"/>
    <n v="3.3191430000000001E-3"/>
  </r>
  <r>
    <x v="4"/>
    <s v="Arginine and proline metabolism"/>
    <s v="ALDH18A1"/>
    <s v="ALDH18A1"/>
    <n v="-5.6800000000000006E-17"/>
    <n v="5.6754900000000003E-17"/>
    <n v="1.2300000000000001E-5"/>
    <s v="hsa00330"/>
    <n v="8.009815E-3"/>
  </r>
  <r>
    <x v="5"/>
    <s v="Pyruvate metabolism KEGG"/>
    <s v="ACSS2"/>
    <s v="ACSS2"/>
    <n v="3.5699999999999998E-16"/>
    <n v="3.5703799999999999E-16"/>
    <n v="2.2500000000000001E-5"/>
    <s v="hsa00620"/>
    <n v="1.0582642999999999E-2"/>
  </r>
  <r>
    <x v="6"/>
    <s v="N‑Glycan biosynthesis KEGG"/>
    <s v="ALG2"/>
    <s v="ALG1"/>
    <n v="-0.63518426900000002"/>
    <n v="0.63518426900000002"/>
    <n v="2.27E-5"/>
    <s v="hsa00510"/>
    <n v="1.0582642999999999E-2"/>
  </r>
  <r>
    <x v="7"/>
    <s v="Glycine, serine and threonine metabolism"/>
    <s v="SHMT1"/>
    <s v="GLDC"/>
    <n v="2.3421318090000001"/>
    <n v="2.3421318090000001"/>
    <n v="2.7500000000000001E-5"/>
    <s v="hsa00260"/>
    <n v="1.1215197E-2"/>
  </r>
  <r>
    <x v="8"/>
    <s v="Tryptophan metabolism genome.jp"/>
    <s v="ALDH2"/>
    <s v="MAOA"/>
    <n v="1.9350147069999999"/>
    <n v="1.9350147069999999"/>
    <n v="4.1600000000000002E-5"/>
    <s v="hsa00380"/>
    <n v="1.3894541999999999E-2"/>
  </r>
  <r>
    <x v="9"/>
    <s v="Amino sugar and nucleotide sugar metabolism KEGG"/>
    <s v="PGM3"/>
    <s v="UAP1"/>
    <n v="0.88826016299999999"/>
    <n v="0.88826016299999999"/>
    <n v="4.2599999999999999E-5"/>
    <s v="hsa00520"/>
    <n v="1.3894541999999999E-2"/>
  </r>
  <r>
    <x v="10"/>
    <s v="Arachidonic acid metabolism genome.jp"/>
    <s v="ALOX15B"/>
    <s v="ALOX15"/>
    <n v="-0.67537532499999997"/>
    <n v="0.67537532499999997"/>
    <n v="5.0000000000000002E-5"/>
    <s v="hsa00590"/>
    <n v="1.4847480999999999E-2"/>
  </r>
  <r>
    <x v="11"/>
    <s v="Pantothenate and CoA biosynthesis"/>
    <s v="COASY"/>
    <s v="COASY"/>
    <n v="-1.7800000000000001E-16"/>
    <n v="1.7843200000000001E-16"/>
    <n v="5.5500000000000001E-5"/>
    <s v="hsa00770"/>
    <n v="1.5095001E-2"/>
  </r>
  <r>
    <x v="12"/>
    <s v="Biosynthesis of various nucleotide sugars KEGG"/>
    <s v="NANS"/>
    <s v="NPL"/>
    <n v="-0.76279440499999995"/>
    <n v="0.76279440499999995"/>
    <n v="6.1400000000000002E-5"/>
    <s v="hsa00541"/>
    <n v="1.5419237000000001E-2"/>
  </r>
  <r>
    <x v="7"/>
    <s v="Glycine, serine and threonine metabolism"/>
    <s v="GATM"/>
    <s v="GLDC"/>
    <n v="1.187054643"/>
    <n v="1.187054643"/>
    <n v="7.0400000000000004E-5"/>
    <s v="hsa00260"/>
    <n v="1.6407980999999999E-2"/>
  </r>
  <r>
    <x v="13"/>
    <s v="One carbon pool by folate"/>
    <s v="MTHFD1"/>
    <s v="GART"/>
    <n v="0.30026594299999998"/>
    <n v="0.30026594299999998"/>
    <n v="9.5500000000000004E-5"/>
    <s v="hsa00670"/>
    <n v="2.0788244000000001E-2"/>
  </r>
  <r>
    <x v="14"/>
    <s v="Purine metabolism"/>
    <s v="ITPA"/>
    <s v="GMPS"/>
    <n v="-0.34708396200000002"/>
    <n v="0.34708396200000002"/>
    <n v="1.07112E-4"/>
    <s v="hsa00230"/>
    <n v="2.1850936000000001E-2"/>
  </r>
  <r>
    <x v="13"/>
    <s v="One carbon pool by folate"/>
    <s v="TYMS"/>
    <s v="SHMT1"/>
    <n v="0.20939363499999999"/>
    <n v="0.20939363499999999"/>
    <n v="1.42693E-4"/>
    <s v="hsa00670"/>
    <n v="2.7112836000000001E-2"/>
  </r>
  <r>
    <x v="15"/>
    <s v="Drug metabolism – other enzymes"/>
    <s v="TYMP"/>
    <s v="TK1"/>
    <n v="-0.99730830599999998"/>
    <n v="0.99730830599999998"/>
    <n v="1.49519E-4"/>
    <s v="hsa00983"/>
    <n v="2.7112836000000001E-2"/>
  </r>
  <r>
    <x v="16"/>
    <e v="#N/A"/>
    <s v="MAPK1"/>
    <s v="MMP9"/>
    <n v="-1.4865218010000001"/>
    <n v="1.4865218010000001"/>
    <n v="1.6847100000000001E-4"/>
    <s v="hsa05205"/>
    <n v="2.8941518999999999E-2"/>
  </r>
  <r>
    <x v="17"/>
    <e v="#N/A"/>
    <s v="CHSY1"/>
    <s v="CHSY1"/>
    <n v="-2.9699999999999999E-16"/>
    <n v="2.9691599999999998E-16"/>
    <n v="1.88629E-4"/>
    <s v="hsa00532"/>
    <n v="3.0784229999999999E-2"/>
  </r>
  <r>
    <x v="18"/>
    <s v="Glycosphingolipid biosynthesis – ganglio series genome.jp"/>
    <s v="ST8SIA1"/>
    <s v="ST8SIA1"/>
    <n v="-1.2399999999999999E-16"/>
    <n v="1.2380899999999999E-16"/>
    <n v="2.43861E-4"/>
    <s v="hsa00604"/>
    <n v="3.6761463000000001E-2"/>
  </r>
  <r>
    <x v="19"/>
    <s v="Th17 cell differentiation"/>
    <s v="RUNX1"/>
    <s v="RORC"/>
    <n v="1.765564312"/>
    <n v="1.765564312"/>
    <n v="2.47779E-4"/>
    <s v="hsa04659"/>
    <n v="3.6761463000000001E-2"/>
  </r>
  <r>
    <x v="20"/>
    <s v="Tuberculosis"/>
    <s v="MAPK1"/>
    <s v="IL23A"/>
    <n v="0.988529675"/>
    <n v="0.988529675"/>
    <n v="3.0128300000000001E-4"/>
    <s v="hsa05152"/>
    <n v="4.2756036999999997E-2"/>
  </r>
  <r>
    <x v="21"/>
    <s v="Valine, leucine and isoleucine degradation"/>
    <s v="AOX1"/>
    <s v="ALDH6A1"/>
    <n v="-0.15301890700000001"/>
    <n v="0.15301890700000001"/>
    <n v="4.1618900000000002E-4"/>
    <s v="hsa00280"/>
    <n v="5.6601652000000002E-2"/>
  </r>
  <r>
    <x v="22"/>
    <s v="Pathways in cancer"/>
    <s v="PML"/>
    <s v="CCNA2"/>
    <n v="-0.627863167"/>
    <n v="0.627863167"/>
    <n v="4.95923E-4"/>
    <s v="hsa05200"/>
    <n v="6.0076342999999997E-2"/>
  </r>
  <r>
    <x v="23"/>
    <e v="#N/A"/>
    <s v="PML"/>
    <s v="CCNA2"/>
    <n v="-0.627863167"/>
    <n v="0.627863167"/>
    <n v="4.95923E-4"/>
    <s v="hsa05221"/>
    <n v="6.0076342999999997E-2"/>
  </r>
  <r>
    <x v="24"/>
    <e v="#N/A"/>
    <s v="E2F1"/>
    <s v="FOXM1"/>
    <n v="-0.53828510100000004"/>
    <n v="0.53828510100000004"/>
    <n v="5.0179200000000004E-4"/>
    <s v="hsa04218"/>
    <n v="6.0076342999999997E-2"/>
  </r>
  <r>
    <x v="22"/>
    <s v="Pathways in cancer"/>
    <s v="NOTCH1"/>
    <s v="FLT4"/>
    <n v="0.98371203799999996"/>
    <n v="0.98371203799999996"/>
    <n v="5.4062499999999998E-4"/>
    <s v="hsa05200"/>
    <n v="6.0076342999999997E-2"/>
  </r>
  <r>
    <x v="25"/>
    <s v="Breast cancer – Homo sapiens (human) KEGG"/>
    <s v="NOTCH1"/>
    <s v="FLT4"/>
    <n v="0.98371203799999996"/>
    <n v="0.98371203799999996"/>
    <n v="5.4062499999999998E-4"/>
    <s v="hsa05224"/>
    <n v="6.0076342999999997E-2"/>
  </r>
  <r>
    <x v="20"/>
    <s v="Tuberculosis"/>
    <s v="MAPK8"/>
    <s v="IL23A"/>
    <n v="-1.786856534"/>
    <n v="1.786856534"/>
    <n v="5.5217199999999997E-4"/>
    <s v="hsa05152"/>
    <n v="6.0076342999999997E-2"/>
  </r>
  <r>
    <x v="26"/>
    <s v="AGE‑RAGE signaling pathway in diabetic complications genome.jp"/>
    <s v="JUN"/>
    <s v="EDN1"/>
    <n v="-0.81068126799999995"/>
    <n v="0.81068126799999995"/>
    <n v="5.91988E-4"/>
    <s v="hsa04933"/>
    <n v="6.2066629999999998E-2"/>
  </r>
  <r>
    <x v="27"/>
    <s v="IL‑17 signaling pathway"/>
    <s v="FOS"/>
    <s v="MMP9"/>
    <n v="-1.125712906"/>
    <n v="1.125712906"/>
    <n v="6.4479700000000001E-4"/>
    <s v="hsa04657"/>
    <n v="6.2066629999999998E-2"/>
  </r>
  <r>
    <x v="28"/>
    <s v="Hepatitis B"/>
    <s v="FOS"/>
    <s v="MMP9"/>
    <n v="-1.125712906"/>
    <n v="1.125712906"/>
    <n v="6.4479700000000001E-4"/>
    <s v="hsa05161"/>
    <n v="6.2066629999999998E-2"/>
  </r>
  <r>
    <x v="29"/>
    <s v="Growth hormone synthesis, secretion and action KEGG"/>
    <s v="MAPK1"/>
    <s v="IGF1"/>
    <n v="-2.411319121"/>
    <n v="2.411319121"/>
    <n v="6.4652700000000004E-4"/>
    <s v="hsa04935"/>
    <n v="6.2066629999999998E-2"/>
  </r>
  <r>
    <x v="30"/>
    <e v="#N/A"/>
    <s v="HDC"/>
    <s v="HNMT"/>
    <n v="-0.22073991500000001"/>
    <n v="0.22073991500000001"/>
    <n v="6.9896699999999999E-4"/>
    <s v="hsa00340"/>
    <n v="6.3154737000000002E-2"/>
  </r>
  <r>
    <x v="3"/>
    <s v="Pyrimidine metabolism"/>
    <s v="TK1"/>
    <s v="TYMP"/>
    <n v="-0.23855343800000001"/>
    <n v="0.23855343800000001"/>
    <n v="6.99856E-4"/>
    <s v="hsa00240"/>
    <n v="6.3154737000000002E-2"/>
  </r>
  <r>
    <x v="31"/>
    <s v="Inositol phosphate metabolism genome.jp"/>
    <s v="PLCD3"/>
    <s v="PIP5KL1"/>
    <n v="-0.93149677099999995"/>
    <n v="0.93149677099999995"/>
    <n v="7.1590800000000002E-4"/>
    <s v="hsa00562"/>
    <n v="6.3154737000000002E-2"/>
  </r>
  <r>
    <x v="32"/>
    <s v="Propanoate metabolism"/>
    <s v="ACOX1"/>
    <s v="ACSS2"/>
    <n v="-0.25594924899999999"/>
    <n v="0.25594924899999999"/>
    <n v="7.3930199999999995E-4"/>
    <s v="hsa00640"/>
    <n v="6.3502189000000001E-2"/>
  </r>
  <r>
    <x v="33"/>
    <s v="Glycosphingolipid biosynthesis – lacto &amp; neolacto series genome.jp"/>
    <s v="B4GALT1"/>
    <s v="B3GALT2"/>
    <n v="1.5642016080000001"/>
    <n v="1.5642016080000001"/>
    <n v="7.8228499999999997E-4"/>
    <s v="hsa00601"/>
    <n v="6.5471211000000001E-2"/>
  </r>
  <r>
    <x v="10"/>
    <s v="Arachidonic acid metabolism genome.jp"/>
    <s v="PTGS1"/>
    <s v="PTGES3"/>
    <n v="-0.26340700099999997"/>
    <n v="0.26340700099999997"/>
    <n v="9.3237699999999997E-4"/>
    <s v="hsa00590"/>
    <n v="7.6081942E-2"/>
  </r>
  <r>
    <x v="10"/>
    <s v="Arachidonic acid metabolism genome.jp"/>
    <s v="ALOX12"/>
    <s v="ALOX15"/>
    <n v="-1.103770876"/>
    <n v="1.103770876"/>
    <n v="1.017593E-3"/>
    <s v="hsa00590"/>
    <n v="7.8879451000000003E-2"/>
  </r>
  <r>
    <x v="34"/>
    <s v="Mucin‑type O‑glycan biosynthesis KEGG"/>
    <s v="ST3GAL1"/>
    <s v="ST6GALNAC2"/>
    <n v="-0.96492495599999994"/>
    <n v="0.96492495599999994"/>
    <n v="1.054602E-3"/>
    <s v="hsa00512"/>
    <n v="7.8879451000000003E-2"/>
  </r>
  <r>
    <x v="23"/>
    <e v="#N/A"/>
    <s v="STAT3"/>
    <s v="PIM2"/>
    <n v="-0.32312223800000001"/>
    <n v="0.32312223800000001"/>
    <n v="1.0723799999999999E-3"/>
    <s v="hsa05221"/>
    <n v="7.8879451000000003E-2"/>
  </r>
  <r>
    <x v="16"/>
    <e v="#N/A"/>
    <s v="MAPK1"/>
    <s v="PLAUR"/>
    <n v="-0.48564426900000002"/>
    <n v="0.48564426900000002"/>
    <n v="1.082185E-3"/>
    <s v="hsa05205"/>
    <n v="7.8879451000000003E-2"/>
  </r>
  <r>
    <x v="35"/>
    <s v="Cortisol synthesis and secretion genome.jp"/>
    <s v="CREB3"/>
    <s v="NCEH1"/>
    <n v="-0.60365717799999996"/>
    <n v="0.60365717799999996"/>
    <n v="1.1264230000000001E-3"/>
    <s v="hsa04927"/>
    <n v="7.8879451000000003E-2"/>
  </r>
  <r>
    <x v="36"/>
    <s v="Cushing syndrome KEGG"/>
    <s v="CREB3"/>
    <s v="NCEH1"/>
    <n v="-0.60365717799999996"/>
    <n v="0.60365717799999996"/>
    <n v="1.1264230000000001E-3"/>
    <s v="hsa04934"/>
    <n v="7.8879451000000003E-2"/>
  </r>
  <r>
    <x v="37"/>
    <s v="Various types of N‑glycan biosynthesis KEGG"/>
    <s v="B4GALT1"/>
    <s v="ST3GAL3"/>
    <n v="0.39189389800000002"/>
    <n v="0.39189389800000002"/>
    <n v="1.1599920000000001E-3"/>
    <s v="hsa00513"/>
    <n v="7.8879451000000003E-2"/>
  </r>
  <r>
    <x v="38"/>
    <s v="Mannose‑type O‑glycan biosynthesis genome.jp"/>
    <s v="B4GALT1"/>
    <s v="ST3GAL3"/>
    <n v="0.39189389800000002"/>
    <n v="0.39189389800000002"/>
    <n v="1.1599920000000001E-3"/>
    <s v="hsa00515"/>
    <n v="7.8879451000000003E-2"/>
  </r>
  <r>
    <x v="39"/>
    <e v="#N/A"/>
    <s v="ACOX1"/>
    <s v="ACAA1"/>
    <n v="-0.25285805099999997"/>
    <n v="0.25285805099999997"/>
    <n v="1.2157100000000001E-3"/>
    <s v="hsa00592"/>
    <n v="8.0360676000000006E-2"/>
  </r>
  <r>
    <x v="32"/>
    <s v="Propanoate metabolism"/>
    <s v="DBT"/>
    <s v="ACSS2"/>
    <n v="0.41747097500000002"/>
    <n v="0.41747097500000002"/>
    <n v="1.2696529999999999E-3"/>
    <s v="hsa00640"/>
    <n v="8.0360676000000006E-2"/>
  </r>
  <r>
    <x v="13"/>
    <s v="One carbon pool by folate"/>
    <s v="ATIC"/>
    <s v="MTR"/>
    <n v="-0.23262345200000001"/>
    <n v="0.23262345200000001"/>
    <n v="1.3000679999999999E-3"/>
    <s v="hsa00670"/>
    <n v="8.0360676000000006E-2"/>
  </r>
  <r>
    <x v="40"/>
    <e v="#N/A"/>
    <s v="CREB3"/>
    <s v="FOSB"/>
    <n v="-1.2347232420000001"/>
    <n v="1.2347232420000001"/>
    <n v="1.32581E-3"/>
    <s v="hsa05031"/>
    <n v="8.0360676000000006E-2"/>
  </r>
  <r>
    <x v="41"/>
    <e v="#N/A"/>
    <s v="CREB3"/>
    <s v="FOSB"/>
    <n v="-1.2347232420000001"/>
    <n v="1.2347232420000001"/>
    <n v="1.32581E-3"/>
    <s v="hsa05034"/>
    <n v="8.0360676000000006E-2"/>
  </r>
  <r>
    <x v="42"/>
    <s v="β-Alanine metabolism KEGG"/>
    <s v="UPB1"/>
    <s v="CNDP2"/>
    <n v="0.203720753"/>
    <n v="0.203720753"/>
    <n v="1.3294960000000001E-3"/>
    <s v="hsa00410"/>
    <n v="8.0360676000000006E-2"/>
  </r>
  <r>
    <x v="3"/>
    <s v="Pyrimidine metabolism"/>
    <s v="TYMS"/>
    <s v="HDDC2"/>
    <n v="0.171308924"/>
    <n v="0.171308924"/>
    <n v="1.422719E-3"/>
    <s v="hsa00240"/>
    <n v="8.1288816E-2"/>
  </r>
  <r>
    <x v="4"/>
    <s v="Arginine and proline metabolism"/>
    <s v="ALDH2"/>
    <s v="GATM"/>
    <n v="-0.70340457499999998"/>
    <n v="0.70340457499999998"/>
    <n v="1.428744E-3"/>
    <s v="hsa00330"/>
    <n v="8.1288816E-2"/>
  </r>
  <r>
    <x v="9"/>
    <s v="Amino sugar and nucleotide sugar metabolism KEGG"/>
    <s v="HK1"/>
    <s v="GFPT1"/>
    <n v="-0.15562947299999999"/>
    <n v="0.15562947299999999"/>
    <n v="1.440768E-3"/>
    <s v="hsa00520"/>
    <n v="8.1288816E-2"/>
  </r>
  <r>
    <x v="34"/>
    <s v="Mucin‑type O‑glycan biosynthesis KEGG"/>
    <s v="C1GALT1C1"/>
    <s v="GCNT1"/>
    <n v="-0.49569948400000002"/>
    <n v="0.49569948400000002"/>
    <n v="1.458535E-3"/>
    <s v="hsa00512"/>
    <n v="8.1288816E-2"/>
  </r>
  <r>
    <x v="10"/>
    <s v="Arachidonic acid metabolism genome.jp"/>
    <s v="PTGES3"/>
    <s v="CBR1"/>
    <n v="-0.58013951900000005"/>
    <n v="0.58013951900000005"/>
    <n v="1.469375E-3"/>
    <s v="hsa00590"/>
    <n v="8.1288816E-2"/>
  </r>
  <r>
    <x v="43"/>
    <s v="Glycolysis / Gluconeogenesis"/>
    <s v="GALM"/>
    <s v="ADPGK"/>
    <n v="0.17524188199999999"/>
    <n v="0.17524188199999999"/>
    <n v="1.510768E-3"/>
    <s v="hsa00010"/>
    <n v="8.2185800000000003E-2"/>
  </r>
  <r>
    <x v="2"/>
    <s v="Glutathione metabolism KEGG"/>
    <s v="LAP3"/>
    <s v="GCLC"/>
    <n v="-0.47027010699999999"/>
    <n v="0.47027010699999999"/>
    <n v="1.659233E-3"/>
    <s v="hsa00480"/>
    <n v="8.8782548000000003E-2"/>
  </r>
  <r>
    <x v="4"/>
    <s v="Arginine and proline metabolism"/>
    <s v="MAOA"/>
    <s v="ALDH2"/>
    <n v="0.14175407500000001"/>
    <n v="0.14175407500000001"/>
    <n v="1.983332E-3"/>
    <s v="hsa00330"/>
    <n v="0.101455318"/>
  </r>
  <r>
    <x v="8"/>
    <s v="Tryptophan metabolism genome.jp"/>
    <s v="MAOA"/>
    <s v="ALDH2"/>
    <n v="0.14175407500000001"/>
    <n v="0.14175407500000001"/>
    <n v="1.983332E-3"/>
    <s v="hsa00380"/>
    <n v="0.101455318"/>
  </r>
  <r>
    <x v="3"/>
    <s v="Pyrimidine metabolism"/>
    <s v="TYMS"/>
    <s v="DTYMK"/>
    <n v="0.16440282000000001"/>
    <n v="0.16440282000000001"/>
    <n v="1.9893200000000002E-3"/>
    <s v="hsa00240"/>
    <n v="0.101455318"/>
  </r>
  <r>
    <x v="44"/>
    <s v="Th1 and Th2 cell differentiation"/>
    <s v="GATA3"/>
    <s v="GATA3"/>
    <n v="4.5299999999999997E-16"/>
    <n v="4.53197E-16"/>
    <n v="2.1292429999999998E-3"/>
    <s v="hsa04658"/>
    <n v="0.105513645"/>
  </r>
  <r>
    <x v="33"/>
    <s v="Glycosphingolipid biosynthesis – lacto &amp; neolacto series genome.jp"/>
    <s v="B4GALT1"/>
    <s v="A4GALT"/>
    <n v="-2.266624191"/>
    <n v="2.266624191"/>
    <n v="2.1335479999999999E-3"/>
    <s v="hsa00601"/>
    <n v="0.105513645"/>
  </r>
  <r>
    <x v="45"/>
    <s v="Epithelial cell signaling in Helicobacter pylori infection KEGG"/>
    <s v="JUN"/>
    <s v="CXCL1"/>
    <n v="0.55942114600000004"/>
    <n v="0.55942114600000004"/>
    <n v="2.292685E-3"/>
    <s v="hsa05120"/>
    <n v="0.111691388"/>
  </r>
  <r>
    <x v="46"/>
    <s v="Terpenoid backbone biosynthesis"/>
    <s v="NUS1"/>
    <s v="GGPS1"/>
    <n v="-0.28302094999999999"/>
    <n v="0.28302094999999999"/>
    <n v="2.3353879999999999E-3"/>
    <s v="hsa00900"/>
    <n v="0.111782258"/>
  </r>
  <r>
    <x v="47"/>
    <s v="Choline metabolism in cancer – Homo sapiens (human) KEGG"/>
    <s v="MAPK8"/>
    <s v="PLA2G4B"/>
    <n v="-0.59658199599999995"/>
    <n v="0.59658199599999995"/>
    <n v="2.3630439999999999E-3"/>
    <s v="hsa05231"/>
    <n v="0.111782258"/>
  </r>
  <r>
    <x v="15"/>
    <s v="Drug metabolism – other enzymes"/>
    <s v="TK1"/>
    <s v="DUT"/>
    <n v="0.151386928"/>
    <n v="0.151386928"/>
    <n v="2.5916559999999999E-3"/>
    <s v="hsa00983"/>
    <n v="0.12084521500000001"/>
  </r>
  <r>
    <x v="48"/>
    <s v="Renin–angiotensin system"/>
    <s v="ACE"/>
    <s v="PRCP"/>
    <n v="0.143751507"/>
    <n v="0.143751507"/>
    <n v="2.6675750000000002E-3"/>
    <s v="hsa04614"/>
    <n v="0.122633324"/>
  </r>
  <r>
    <x v="8"/>
    <s v="Tryptophan metabolism genome.jp"/>
    <s v="AFMID"/>
    <s v="KYNU"/>
    <n v="-0.616748619"/>
    <n v="0.616748619"/>
    <n v="2.7450899999999999E-3"/>
    <s v="hsa00380"/>
    <n v="0.124444071"/>
  </r>
  <r>
    <x v="3"/>
    <s v="Pyrimidine metabolism"/>
    <s v="NT5C1B-RDH14"/>
    <s v="DUT"/>
    <n v="-0.28263812700000002"/>
    <n v="0.28263812700000002"/>
    <n v="2.8189510000000001E-3"/>
    <s v="hsa00240"/>
    <n v="0.124691702"/>
  </r>
  <r>
    <x v="48"/>
    <s v="Renin–angiotensin system"/>
    <s v="ENPEP"/>
    <s v="ANPEP"/>
    <n v="0.19304637199999999"/>
    <n v="0.19304637199999999"/>
    <n v="2.8269559999999998E-3"/>
    <s v="hsa04614"/>
    <n v="0.124691702"/>
  </r>
  <r>
    <x v="43"/>
    <s v="Glycolysis / Gluconeogenesis"/>
    <s v="BPGM"/>
    <s v="MINPP1"/>
    <n v="-0.170416284"/>
    <n v="0.170416284"/>
    <n v="2.876254E-3"/>
    <s v="hsa00010"/>
    <n v="0.125174585"/>
  </r>
  <r>
    <x v="49"/>
    <e v="#N/A"/>
    <s v="E2F1"/>
    <s v="BIRC5"/>
    <n v="-0.54052592499999996"/>
    <n v="0.54052592499999996"/>
    <n v="2.9336620000000001E-3"/>
    <s v="hsa05207"/>
    <n v="0.12599306599999999"/>
  </r>
  <r>
    <x v="50"/>
    <s v="Kaposi sarcoma‑associated herpesvirus infection"/>
    <s v="FOS"/>
    <s v="PDGFB"/>
    <n v="0.74413401499999998"/>
    <n v="0.74413401499999998"/>
    <n v="3.0721099999999999E-3"/>
    <s v="hsa05167"/>
    <n v="0.13022552600000001"/>
  </r>
  <r>
    <x v="51"/>
    <s v="Fluid shear stress and atherosclerosis – Homo sapiens (human) KEGG"/>
    <s v="KLF2"/>
    <s v="NQO1"/>
    <n v="-1.5741343809999999"/>
    <n v="1.5741343809999999"/>
    <n v="3.1606809999999998E-3"/>
    <s v="hsa05418"/>
    <n v="0.13226236299999999"/>
  </r>
  <r>
    <x v="52"/>
    <s v="Nicotinate and nicotinamide metabolism"/>
    <s v="NUDT13"/>
    <s v="NADK2"/>
    <n v="-0.16964399299999999"/>
    <n v="0.16964399299999999"/>
    <n v="3.3523239999999998E-3"/>
    <s v="hsa00760"/>
    <n v="0.13850616399999999"/>
  </r>
  <r>
    <x v="27"/>
    <s v="IL‑17 signaling pathway"/>
    <s v="CEBPB"/>
    <s v="MMP9"/>
    <n v="-0.75271717100000002"/>
    <n v="0.75271717100000002"/>
    <n v="3.4745819999999999E-3"/>
    <s v="hsa04657"/>
    <n v="0.14136125699999999"/>
  </r>
  <r>
    <x v="2"/>
    <s v="Glutathione metabolism KEGG"/>
    <s v="CHAC2"/>
    <s v="GPX4"/>
    <n v="-0.397453838"/>
    <n v="0.397453838"/>
    <n v="3.5080459999999999E-3"/>
    <s v="hsa00480"/>
    <n v="0.14136125699999999"/>
  </r>
  <r>
    <x v="44"/>
    <s v="Th1 and Th2 cell differentiation"/>
    <s v="STAT6"/>
    <s v="IL4R"/>
    <n v="-0.65955645600000001"/>
    <n v="0.65955645600000001"/>
    <n v="3.651531E-3"/>
    <s v="hsa04658"/>
    <n v="0.14357987799999999"/>
  </r>
  <r>
    <x v="26"/>
    <s v="AGE‑RAGE signaling pathway in diabetic complications genome.jp"/>
    <s v="JUN"/>
    <s v="ICAM1"/>
    <n v="-0.43402256500000003"/>
    <n v="0.43402256500000003"/>
    <n v="3.726147E-3"/>
    <s v="hsa04933"/>
    <n v="0.14357987799999999"/>
  </r>
  <r>
    <x v="53"/>
    <s v="Epstein‑Barr virus infection"/>
    <s v="JUN"/>
    <s v="ICAM1"/>
    <n v="-0.43402256500000003"/>
    <n v="0.43402256500000003"/>
    <n v="3.726147E-3"/>
    <s v="hsa05169"/>
    <n v="0.14357987799999999"/>
  </r>
  <r>
    <x v="10"/>
    <s v="Arachidonic acid metabolism genome.jp"/>
    <s v="ALOX15"/>
    <s v="PTGS1"/>
    <n v="-0.15241162699999999"/>
    <n v="0.15241162699999999"/>
    <n v="3.7390589999999999E-3"/>
    <s v="hsa00590"/>
    <n v="0.14357987799999999"/>
  </r>
  <r>
    <x v="14"/>
    <s v="Purine metabolism"/>
    <s v="PGM2"/>
    <s v="NUDT5"/>
    <n v="0.36241564599999998"/>
    <n v="0.36241564599999998"/>
    <n v="3.8104969999999999E-3"/>
    <s v="hsa00230"/>
    <n v="0.14462166000000001"/>
  </r>
  <r>
    <x v="22"/>
    <s v="Pathways in cancer"/>
    <s v="STAT5A"/>
    <s v="PIM2"/>
    <n v="-0.42155959999999998"/>
    <n v="0.42155959999999998"/>
    <n v="3.9894029999999999E-3"/>
    <s v="hsa05200"/>
    <n v="0.14967138799999999"/>
  </r>
  <r>
    <x v="46"/>
    <s v="Terpenoid backbone biosynthesis"/>
    <s v="CHURC1-FNTB"/>
    <s v="PDSS1"/>
    <n v="-0.78416021599999997"/>
    <n v="0.78416021599999997"/>
    <n v="4.2842619999999996E-3"/>
    <s v="hsa00900"/>
    <n v="0.15835338900000001"/>
  </r>
  <r>
    <x v="32"/>
    <s v="Propanoate metabolism"/>
    <s v="MMUT"/>
    <s v="SUCLG2"/>
    <n v="0.74037801599999997"/>
    <n v="0.74037801599999997"/>
    <n v="4.3178469999999997E-3"/>
    <s v="hsa00640"/>
    <n v="0.15835338900000001"/>
  </r>
  <r>
    <x v="54"/>
    <s v="Fatty acid degradation"/>
    <s v="CPT2"/>
    <s v="ACOX1"/>
    <n v="-0.94347249799999999"/>
    <n v="0.94347249799999999"/>
    <n v="4.3696769999999998E-3"/>
    <s v="hsa00071"/>
    <n v="0.15847360599999999"/>
  </r>
  <r>
    <x v="21"/>
    <s v="Valine, leucine and isoleucine degradation"/>
    <s v="ACAD8"/>
    <s v="DBT"/>
    <n v="0.35949990700000001"/>
    <n v="0.35949990700000001"/>
    <n v="4.6055109999999996E-3"/>
    <s v="hsa00280"/>
    <n v="0.15950623"/>
  </r>
  <r>
    <x v="31"/>
    <s v="Inositol phosphate metabolism genome.jp"/>
    <s v="ITPK1"/>
    <s v="ITPK1"/>
    <n v="-1.3599999999999999E-16"/>
    <n v="1.35587E-16"/>
    <n v="4.6197240000000004E-3"/>
    <s v="hsa00562"/>
    <n v="0.15950623"/>
  </r>
  <r>
    <x v="22"/>
    <s v="Pathways in cancer"/>
    <s v="RARA"/>
    <s v="CCNA2"/>
    <n v="-0.65036712500000005"/>
    <n v="0.65036712500000005"/>
    <n v="4.6384729999999997E-3"/>
    <s v="hsa05200"/>
    <n v="0.15950623"/>
  </r>
  <r>
    <x v="23"/>
    <e v="#N/A"/>
    <s v="RARA"/>
    <s v="CCNA2"/>
    <n v="-0.65036712500000005"/>
    <n v="0.65036712500000005"/>
    <n v="4.6384729999999997E-3"/>
    <s v="hsa05221"/>
    <n v="0.15950623"/>
  </r>
  <r>
    <x v="55"/>
    <s v="Selenocompound metabolism genome.jp"/>
    <s v="MARS1"/>
    <s v="MTR"/>
    <n v="0.34984770700000001"/>
    <n v="0.34984770700000001"/>
    <n v="4.717293E-3"/>
    <s v="hsa00450"/>
    <n v="0.15950623"/>
  </r>
  <r>
    <x v="22"/>
    <s v="Pathways in cancer"/>
    <s v="EPAS1"/>
    <s v="PDGFB"/>
    <n v="0.39092230300000003"/>
    <n v="0.39092230300000003"/>
    <n v="4.740228E-3"/>
    <s v="hsa05200"/>
    <n v="0.15950623"/>
  </r>
  <r>
    <x v="56"/>
    <s v="Renal cell carcinoma"/>
    <s v="EPAS1"/>
    <s v="PDGFB"/>
    <n v="0.39092230300000003"/>
    <n v="0.39092230300000003"/>
    <n v="4.740228E-3"/>
    <s v="hsa05211"/>
    <n v="0.15950623"/>
  </r>
  <r>
    <x v="22"/>
    <s v="Pathways in cancer"/>
    <s v="RUNX1"/>
    <s v="CSF1R"/>
    <n v="1.0176454340000001"/>
    <n v="1.0176454340000001"/>
    <n v="4.8288380000000002E-3"/>
    <s v="hsa05200"/>
    <n v="0.15979459600000001"/>
  </r>
  <r>
    <x v="3"/>
    <s v="Pyrimidine metabolism"/>
    <s v="CTPS1"/>
    <s v="NME6"/>
    <n v="0.23173307200000001"/>
    <n v="0.23173307200000001"/>
    <n v="4.8467110000000001E-3"/>
    <s v="hsa00240"/>
    <n v="0.15979459600000001"/>
  </r>
  <r>
    <x v="57"/>
    <s v="Alanine, aspartate and glutamate metabolism"/>
    <s v="ADSS1"/>
    <s v="ASRGL1"/>
    <n v="0.23118171400000001"/>
    <n v="0.23118171400000001"/>
    <n v="4.9025370000000002E-3"/>
    <s v="hsa00250"/>
    <n v="0.16001879099999999"/>
  </r>
  <r>
    <x v="32"/>
    <s v="Propanoate metabolism"/>
    <s v="ACSS3"/>
    <s v="ACSS2"/>
    <n v="-0.14648066500000001"/>
    <n v="0.14648066500000001"/>
    <n v="5.1255099999999998E-3"/>
    <s v="hsa00640"/>
    <n v="0.162757124"/>
  </r>
  <r>
    <x v="29"/>
    <s v="Growth hormone synthesis, secretion and action KEGG"/>
    <s v="GSK3B"/>
    <s v="IGF1"/>
    <n v="-2.5654776099999999"/>
    <n v="2.5654776099999999"/>
    <n v="5.1281260000000002E-3"/>
    <s v="hsa04935"/>
    <n v="0.162757124"/>
  </r>
  <r>
    <x v="7"/>
    <s v="Glycine, serine and threonine metabolism"/>
    <s v="PSAT1"/>
    <s v="PSPH"/>
    <n v="0.206613874"/>
    <n v="0.206613874"/>
    <n v="5.1360240000000003E-3"/>
    <s v="hsa00260"/>
    <n v="0.162757124"/>
  </r>
  <r>
    <x v="19"/>
    <s v="Th17 cell differentiation"/>
    <s v="STAT3"/>
    <s v="RORC"/>
    <n v="0.735158808"/>
    <n v="0.735158808"/>
    <n v="5.390644E-3"/>
    <s v="hsa04659"/>
    <n v="0.16757201399999999"/>
  </r>
  <r>
    <x v="58"/>
    <s v="Inflammatory bowel disease – Homo sapiens (human) KEGG"/>
    <s v="STAT3"/>
    <s v="RORC"/>
    <n v="0.735158808"/>
    <n v="0.735158808"/>
    <n v="5.390644E-3"/>
    <s v="hsa05321"/>
    <n v="0.16757201399999999"/>
  </r>
  <r>
    <x v="59"/>
    <s v="Galactose metabolism"/>
    <s v="AKR1B1"/>
    <s v="GLA"/>
    <n v="0.32184906600000002"/>
    <n v="0.32184906600000002"/>
    <n v="5.5588779999999997E-3"/>
    <s v="hsa00052"/>
    <n v="0.17117149400000001"/>
  </r>
  <r>
    <x v="60"/>
    <s v="Citrate cycle (TCA cycle)"/>
    <s v="PDHA1"/>
    <s v="PDHA1"/>
    <n v="-1.9199999999999999E-16"/>
    <n v="1.9198100000000001E-16"/>
    <n v="5.9641169999999997E-3"/>
    <s v="hsa00020"/>
    <n v="0.18190800200000001"/>
  </r>
  <r>
    <x v="18"/>
    <s v="Glycosphingolipid biosynthesis – ganglio series genome.jp"/>
    <s v="ST8SIA1"/>
    <s v="SLC33A1"/>
    <n v="-7.9723171999999995E-2"/>
    <n v="7.9723171999999995E-2"/>
    <n v="6.02763E-3"/>
    <s v="hsa00604"/>
    <n v="0.18190800200000001"/>
  </r>
  <r>
    <x v="34"/>
    <s v="Mucin‑type O‑glycan biosynthesis KEGG"/>
    <s v="GCNT1"/>
    <s v="C1GALT1C1"/>
    <n v="-0.269178533"/>
    <n v="0.269178533"/>
    <n v="6.1034430000000001E-3"/>
    <s v="hsa00512"/>
    <n v="0.18190800200000001"/>
  </r>
  <r>
    <x v="61"/>
    <e v="#N/A"/>
    <s v="CYP3A5"/>
    <s v="CYP19A1"/>
    <n v="-0.46069921800000002"/>
    <n v="0.46069921800000002"/>
    <n v="6.145541E-3"/>
    <s v="hsa00140"/>
    <n v="0.18190800200000001"/>
  </r>
  <r>
    <x v="31"/>
    <s v="Inositol phosphate metabolism genome.jp"/>
    <s v="PTEN"/>
    <s v="PIP5KL1"/>
    <n v="-1.0380653390000001"/>
    <n v="1.0380653390000001"/>
    <n v="6.2144749999999997E-3"/>
    <s v="hsa00562"/>
    <n v="0.18190800200000001"/>
  </r>
  <r>
    <x v="62"/>
    <s v="T cell receptor signaling pathway"/>
    <s v="NFATC1"/>
    <s v="CDK4"/>
    <n v="-0.37101625900000001"/>
    <n v="0.37101625900000001"/>
    <n v="6.3197380000000001E-3"/>
    <s v="hsa04660"/>
    <n v="0.18190800200000001"/>
  </r>
  <r>
    <x v="56"/>
    <s v="Renal cell carcinoma"/>
    <s v="EPAS1"/>
    <s v="VEGFA"/>
    <n v="-0.186066123"/>
    <n v="0.186066123"/>
    <n v="6.3210080000000004E-3"/>
    <s v="hsa05211"/>
    <n v="0.18190800200000001"/>
  </r>
  <r>
    <x v="63"/>
    <s v="Transcriptional misregulation in cancer"/>
    <s v="CEBPA"/>
    <s v="PER2"/>
    <n v="0.21560759700000001"/>
    <n v="0.21560759700000001"/>
    <n v="6.388721E-3"/>
    <s v="hsa05202"/>
    <n v="0.18190800200000001"/>
  </r>
  <r>
    <x v="27"/>
    <s v="IL‑17 signaling pathway"/>
    <s v="FOS"/>
    <s v="S100A9"/>
    <n v="-0.44673083000000002"/>
    <n v="0.44673083000000002"/>
    <n v="6.4091360000000002E-3"/>
    <s v="hsa04657"/>
    <n v="0.18190800200000001"/>
  </r>
  <r>
    <x v="27"/>
    <s v="IL‑17 signaling pathway"/>
    <s v="NFKB1"/>
    <s v="MMP9"/>
    <n v="-1.334370118"/>
    <n v="1.334370118"/>
    <n v="6.531317E-3"/>
    <s v="hsa04657"/>
    <n v="0.18216726999999999"/>
  </r>
  <r>
    <x v="28"/>
    <s v="Hepatitis B"/>
    <s v="NFKB1"/>
    <s v="MMP9"/>
    <n v="-1.334370118"/>
    <n v="1.334370118"/>
    <n v="6.531317E-3"/>
    <s v="hsa05161"/>
    <n v="0.18216726999999999"/>
  </r>
  <r>
    <x v="6"/>
    <s v="N‑Glycan biosynthesis KEGG"/>
    <s v="MGAT3"/>
    <s v="MGAT2"/>
    <n v="0.20211111800000001"/>
    <n v="0.20211111800000001"/>
    <n v="6.5857040000000004E-3"/>
    <s v="hsa00510"/>
    <n v="0.18216726999999999"/>
  </r>
  <r>
    <x v="44"/>
    <s v="Th1 and Th2 cell differentiation"/>
    <s v="FOS"/>
    <s v="IL4R"/>
    <n v="-0.45399374199999998"/>
    <n v="0.45399374199999998"/>
    <n v="6.663174E-3"/>
    <s v="hsa04658"/>
    <n v="0.18276135499999999"/>
  </r>
  <r>
    <x v="52"/>
    <s v="Nicotinate and nicotinamide metabolism"/>
    <s v="SIRT2"/>
    <s v="NUDT13"/>
    <n v="1.081670742"/>
    <n v="1.081670742"/>
    <n v="6.754337E-3"/>
    <s v="hsa00760"/>
    <n v="0.183717979"/>
  </r>
  <r>
    <x v="52"/>
    <s v="Nicotinate and nicotinamide metabolism"/>
    <s v="NMNAT2"/>
    <s v="NNT"/>
    <n v="6.0346228000000002E-2"/>
    <n v="6.0346228000000002E-2"/>
    <n v="6.8843250000000002E-3"/>
    <s v="hsa00760"/>
    <n v="0.18570609699999999"/>
  </r>
  <r>
    <x v="64"/>
    <e v="#N/A"/>
    <s v="NQO1"/>
    <s v="GGCX"/>
    <n v="8.2725341999999993E-2"/>
    <n v="8.2725341999999993E-2"/>
    <n v="7.0406130000000003E-3"/>
    <s v="hsa00130"/>
    <n v="0.18836525800000001"/>
  </r>
  <r>
    <x v="33"/>
    <s v="Glycosphingolipid biosynthesis – lacto &amp; neolacto series genome.jp"/>
    <s v="FUT4"/>
    <s v="B4GALT1"/>
    <n v="-0.29842032200000002"/>
    <n v="0.29842032200000002"/>
    <n v="7.2522330000000003E-3"/>
    <s v="hsa00601"/>
    <n v="0.192449491"/>
  </r>
  <r>
    <x v="65"/>
    <s v="Lysine degradation"/>
    <s v="AASS"/>
    <s v="AASS"/>
    <n v="-2.4100000000000002E-16"/>
    <n v="2.4149600000000001E-16"/>
    <n v="7.406045E-3"/>
    <s v="hsa00310"/>
    <n v="0.19443305699999999"/>
  </r>
  <r>
    <x v="13"/>
    <s v="One carbon pool by folate"/>
    <s v="MTHFD1L"/>
    <s v="SHMT1"/>
    <n v="0.320976653"/>
    <n v="0.320976653"/>
    <n v="7.4461190000000002E-3"/>
    <s v="hsa00670"/>
    <n v="0.19443305699999999"/>
  </r>
  <r>
    <x v="66"/>
    <s v="Glycerolipid metabolism genome.jp"/>
    <s v="ALDH2"/>
    <s v="GLYCTK"/>
    <n v="0.175604017"/>
    <n v="0.175604017"/>
    <n v="7.6392209999999999E-3"/>
    <s v="hsa00561"/>
    <n v="0.19746267200000001"/>
  </r>
  <r>
    <x v="33"/>
    <s v="Glycosphingolipid biosynthesis – lacto &amp; neolacto series genome.jp"/>
    <s v="B4GALT3"/>
    <s v="FUT4"/>
    <n v="-0.24225016799999999"/>
    <n v="0.24225016799999999"/>
    <n v="7.7598270000000004E-3"/>
    <s v="hsa00601"/>
    <n v="0.19746267200000001"/>
  </r>
  <r>
    <x v="51"/>
    <s v="Fluid shear stress and atherosclerosis – Homo sapiens (human) KEGG"/>
    <s v="KLF2"/>
    <s v="HMOX1"/>
    <n v="-0.86189168599999999"/>
    <n v="0.86189168599999999"/>
    <n v="7.7617839999999999E-3"/>
    <s v="hsa05418"/>
    <n v="0.19746267200000001"/>
  </r>
  <r>
    <x v="67"/>
    <s v="African trypanosomiasis"/>
    <s v="TNF"/>
    <s v="VCAM1"/>
    <n v="-1.081010746"/>
    <n v="1.081010746"/>
    <n v="7.8108889999999997E-3"/>
    <s v="hsa05143"/>
    <n v="0.19746267200000001"/>
  </r>
  <r>
    <x v="6"/>
    <s v="N‑Glycan biosynthesis KEGG"/>
    <s v="ALG6"/>
    <s v="ALG5"/>
    <n v="0.71161446799999994"/>
    <n v="0.71161446799999994"/>
    <n v="7.9637530000000005E-3"/>
    <s v="hsa00510"/>
    <n v="0.19746267200000001"/>
  </r>
  <r>
    <x v="16"/>
    <e v="#N/A"/>
    <s v="MAPK1"/>
    <s v="PLAU"/>
    <n v="-0.89632964000000004"/>
    <n v="0.89632964000000004"/>
    <n v="8.0054010000000005E-3"/>
    <s v="hsa05205"/>
    <n v="0.19746267200000001"/>
  </r>
  <r>
    <x v="6"/>
    <s v="N‑Glycan biosynthesis KEGG"/>
    <s v="FUT8"/>
    <s v="B4GALT1"/>
    <n v="0.33925382500000001"/>
    <n v="0.33925382500000001"/>
    <n v="8.0461200000000004E-3"/>
    <s v="hsa00510"/>
    <n v="0.19746267200000001"/>
  </r>
  <r>
    <x v="37"/>
    <s v="Various types of N‑glycan biosynthesis KEGG"/>
    <s v="FUT8"/>
    <s v="B4GALT1"/>
    <n v="0.33925382500000001"/>
    <n v="0.33925382500000001"/>
    <n v="8.0461200000000004E-3"/>
    <s v="hsa00513"/>
    <n v="0.19746267200000001"/>
  </r>
  <r>
    <x v="68"/>
    <s v="Parathyroid hormone synthesis, secretion and action genome.jp"/>
    <s v="CREB3"/>
    <s v="CDKN1A"/>
    <n v="0.53459901099999996"/>
    <n v="0.53459901099999996"/>
    <n v="8.5268089999999998E-3"/>
    <s v="hsa04928"/>
    <n v="0.207697786"/>
  </r>
  <r>
    <x v="69"/>
    <s v="Phosphatidylinositol signaling system"/>
    <s v="INPP5F"/>
    <s v="PIKFYVE"/>
    <n v="0.17293408199999999"/>
    <n v="0.17293408199999999"/>
    <n v="8.785246E-3"/>
    <s v="hsa04070"/>
    <n v="0.21240772999999999"/>
  </r>
  <r>
    <x v="59"/>
    <s v="Galactose metabolism"/>
    <s v="GLA"/>
    <s v="GLB1"/>
    <n v="-0.18929922199999999"/>
    <n v="0.18929922199999999"/>
    <n v="8.9859870000000008E-3"/>
    <s v="hsa00052"/>
    <n v="0.21408949899999999"/>
  </r>
  <r>
    <x v="70"/>
    <s v="Sphingolipid metabolism genome.jp"/>
    <s v="GLA"/>
    <s v="GLB1"/>
    <n v="-0.18929922199999999"/>
    <n v="0.18929922199999999"/>
    <n v="8.9859870000000008E-3"/>
    <s v="hsa00600"/>
    <n v="0.21408949899999999"/>
  </r>
  <r>
    <x v="14"/>
    <s v="Purine metabolism"/>
    <s v="HDDC3"/>
    <s v="NME6"/>
    <n v="-0.26984597799999999"/>
    <n v="0.26984597799999999"/>
    <n v="9.3044310000000002E-3"/>
    <s v="hsa00230"/>
    <n v="0.220070024"/>
  </r>
  <r>
    <x v="24"/>
    <e v="#N/A"/>
    <s v="FOXO3"/>
    <s v="CDKN1A"/>
    <n v="-0.18829430999999999"/>
    <n v="0.18829430999999999"/>
    <n v="9.7155000000000002E-3"/>
    <s v="hsa04218"/>
    <n v="0.226930101"/>
  </r>
  <r>
    <x v="13"/>
    <s v="One carbon pool by folate"/>
    <s v="MTHFD1"/>
    <s v="SARDH"/>
    <n v="1.0082310800000001"/>
    <n v="1.0082310800000001"/>
    <n v="9.7335210000000002E-3"/>
    <s v="hsa00670"/>
    <n v="0.226930101"/>
  </r>
  <r>
    <x v="1"/>
    <s v="Primary bile acid biosynthesis"/>
    <s v="CYP7B1"/>
    <s v="HSD3B7"/>
    <n v="0.283870909"/>
    <n v="0.283870909"/>
    <n v="9.8902339999999995E-3"/>
    <s v="hsa00120"/>
    <n v="0.228948384"/>
  </r>
  <r>
    <x v="71"/>
    <s v="Mitophagy – animal"/>
    <s v="CITED2"/>
    <s v="BNIP3L"/>
    <n v="0.86233315099999996"/>
    <n v="0.86233315099999996"/>
    <n v="1.0412233E-2"/>
    <s v="hsa04137"/>
    <n v="0.239334717"/>
  </r>
  <r>
    <x v="72"/>
    <s v="cAMP signaling pathway"/>
    <s v="CREB3"/>
    <s v="JUN"/>
    <n v="0.58441690099999999"/>
    <n v="0.58441690099999999"/>
    <n v="1.0888027999999999E-2"/>
    <s v="hsa04024"/>
    <n v="0.248443952"/>
  </r>
  <r>
    <x v="10"/>
    <s v="Arachidonic acid metabolism genome.jp"/>
    <s v="ALOX15B"/>
    <s v="PTGS1"/>
    <n v="0.15699401299999999"/>
    <n v="0.15699401299999999"/>
    <n v="1.0960763E-2"/>
    <s v="hsa00590"/>
    <n v="0.248443952"/>
  </r>
  <r>
    <x v="37"/>
    <s v="Various types of N‑glycan biosynthesis KEGG"/>
    <s v="B4GALT1"/>
    <s v="B4GALNT3"/>
    <n v="-1.2494286189999999"/>
    <n v="1.2494286189999999"/>
    <n v="1.1107680999999999E-2"/>
    <s v="hsa00513"/>
    <n v="0.24873182699999999"/>
  </r>
  <r>
    <x v="30"/>
    <e v="#N/A"/>
    <s v="HAL"/>
    <s v="HDC"/>
    <n v="-0.92269703300000006"/>
    <n v="0.92269703300000006"/>
    <n v="1.1125872E-2"/>
    <s v="hsa00340"/>
    <n v="0.24873182699999999"/>
  </r>
  <r>
    <x v="21"/>
    <s v="Valine, leucine and isoleucine degradation"/>
    <s v="ACADM"/>
    <s v="DBT"/>
    <n v="-0.25282501000000002"/>
    <n v="0.25282501000000002"/>
    <n v="1.1533774E-2"/>
    <s v="hsa00280"/>
    <n v="0.25444918900000002"/>
  </r>
  <r>
    <x v="2"/>
    <s v="Glutathione metabolism KEGG"/>
    <s v="GGCT"/>
    <s v="CHAC2"/>
    <n v="0.63439303700000005"/>
    <n v="0.63439303700000005"/>
    <n v="1.1557423000000001E-2"/>
    <s v="hsa00480"/>
    <n v="0.25444918900000002"/>
  </r>
  <r>
    <x v="3"/>
    <s v="Pyrimidine metabolism"/>
    <s v="NME6"/>
    <s v="DTYMK"/>
    <n v="0.80494317299999996"/>
    <n v="0.80494317299999996"/>
    <n v="1.1615481E-2"/>
    <s v="hsa00240"/>
    <n v="0.25444918900000002"/>
  </r>
  <r>
    <x v="3"/>
    <s v="Pyrimidine metabolism"/>
    <s v="ENPP1"/>
    <s v="TK1"/>
    <n v="0.30718392799999999"/>
    <n v="0.30718392799999999"/>
    <n v="1.1751833E-2"/>
    <s v="hsa00240"/>
    <n v="0.25571988200000001"/>
  </r>
  <r>
    <x v="73"/>
    <s v="Fatty acid biosynthesis"/>
    <s v="OXSM"/>
    <s v="HSD17B8"/>
    <n v="-0.55053640299999995"/>
    <n v="0.55053640299999995"/>
    <n v="1.2212311999999999E-2"/>
    <s v="hsa00061"/>
    <n v="0.26398003599999997"/>
  </r>
  <r>
    <x v="8"/>
    <s v="Tryptophan metabolism genome.jp"/>
    <s v="KYNU"/>
    <s v="AFMID"/>
    <n v="-0.211017959"/>
    <n v="0.211017959"/>
    <n v="1.2335805E-2"/>
    <s v="hsa00380"/>
    <n v="0.26437363400000002"/>
  </r>
  <r>
    <x v="21"/>
    <s v="Valine, leucine and isoleucine degradation"/>
    <s v="ACAD8"/>
    <s v="ECHS1"/>
    <n v="0.54180441599999996"/>
    <n v="0.54180441599999996"/>
    <n v="1.2392514E-2"/>
    <s v="hsa00280"/>
    <n v="0.26437363400000002"/>
  </r>
  <r>
    <x v="7"/>
    <s v="Glycine, serine and threonine metabolism"/>
    <s v="PSPH"/>
    <s v="SHMT1"/>
    <n v="0.351762085"/>
    <n v="0.351762085"/>
    <n v="1.2631849000000001E-2"/>
    <s v="hsa00260"/>
    <n v="0.26449464700000003"/>
  </r>
  <r>
    <x v="74"/>
    <s v="Toll‑like receptor signaling pathway"/>
    <s v="FOS"/>
    <s v="CCL5"/>
    <n v="0.47213326999999999"/>
    <n v="0.47213326999999999"/>
    <n v="1.2641288000000001E-2"/>
    <s v="hsa04620"/>
    <n v="0.26449464700000003"/>
  </r>
  <r>
    <x v="75"/>
    <s v="Chagas disease (American trypanosomiasis)"/>
    <s v="FOS"/>
    <s v="CCL5"/>
    <n v="0.47213326999999999"/>
    <n v="0.47213326999999999"/>
    <n v="1.2641288000000001E-2"/>
    <s v="hsa05142"/>
    <n v="0.26449464700000003"/>
  </r>
  <r>
    <x v="13"/>
    <s v="One carbon pool by folate"/>
    <s v="SHMT1"/>
    <s v="MTR"/>
    <n v="-0.24415215400000001"/>
    <n v="0.24415215400000001"/>
    <n v="1.2787639E-2"/>
    <s v="hsa00670"/>
    <n v="0.26585257000000001"/>
  </r>
  <r>
    <x v="65"/>
    <s v="Lysine degradation"/>
    <s v="PHYKPL"/>
    <s v="AASS"/>
    <n v="0.60304086499999998"/>
    <n v="0.60304086499999998"/>
    <n v="1.3203952999999999E-2"/>
    <s v="hsa00310"/>
    <n v="0.272770279"/>
  </r>
  <r>
    <x v="27"/>
    <s v="IL‑17 signaling pathway"/>
    <s v="CEBPB"/>
    <s v="TNF"/>
    <n v="-0.287387685"/>
    <n v="0.287387685"/>
    <n v="1.3646559000000001E-2"/>
    <s v="hsa04657"/>
    <n v="0.27680254500000001"/>
  </r>
  <r>
    <x v="34"/>
    <s v="Mucin‑type O‑glycan biosynthesis KEGG"/>
    <s v="ST3GAL1"/>
    <s v="C1GALT1C1"/>
    <n v="-0.28175432099999997"/>
    <n v="0.28175432099999997"/>
    <n v="1.3665048000000001E-2"/>
    <s v="hsa00512"/>
    <n v="0.27680254500000001"/>
  </r>
  <r>
    <x v="76"/>
    <s v="Glycerophospholipid metabolism KEGG"/>
    <s v="CEPT1"/>
    <s v="PISD"/>
    <n v="-0.829507879"/>
    <n v="0.829507879"/>
    <n v="1.3831421E-2"/>
    <s v="hsa00564"/>
    <n v="0.27680254500000001"/>
  </r>
  <r>
    <x v="54"/>
    <s v="Fatty acid degradation"/>
    <s v="ECHS1"/>
    <s v="GCDH"/>
    <n v="-0.23359036999999999"/>
    <n v="0.23359036999999999"/>
    <n v="1.4071132E-2"/>
    <s v="hsa00071"/>
    <n v="0.27680254500000001"/>
  </r>
  <r>
    <x v="65"/>
    <s v="Lysine degradation"/>
    <s v="ECHS1"/>
    <s v="GCDH"/>
    <n v="-0.23359036999999999"/>
    <n v="0.23359036999999999"/>
    <n v="1.4071132E-2"/>
    <s v="hsa00310"/>
    <n v="0.27680254500000001"/>
  </r>
  <r>
    <x v="8"/>
    <s v="Tryptophan metabolism genome.jp"/>
    <s v="ECHS1"/>
    <s v="GCDH"/>
    <n v="-0.23359036999999999"/>
    <n v="0.23359036999999999"/>
    <n v="1.4071132E-2"/>
    <s v="hsa00380"/>
    <n v="0.27680254500000001"/>
  </r>
  <r>
    <x v="3"/>
    <s v="Pyrimidine metabolism"/>
    <s v="NME6"/>
    <s v="CTPS1"/>
    <n v="0.59346241899999996"/>
    <n v="0.59346241899999996"/>
    <n v="1.4133021000000001E-2"/>
    <s v="hsa00240"/>
    <n v="0.27680254500000001"/>
  </r>
  <r>
    <x v="70"/>
    <s v="Sphingolipid metabolism genome.jp"/>
    <s v="CERK"/>
    <s v="UGCG"/>
    <n v="-1.2375182950000001"/>
    <n v="1.2375182950000001"/>
    <n v="1.4218402999999999E-2"/>
    <s v="hsa00600"/>
    <n v="0.27680254500000001"/>
  </r>
  <r>
    <x v="77"/>
    <s v="Longevity regulating pathway"/>
    <s v="FOXO1"/>
    <s v="ATG5"/>
    <n v="-0.31118893800000003"/>
    <n v="0.31118893800000003"/>
    <n v="1.4323348E-2"/>
    <s v="hsa04211"/>
    <n v="0.27680254500000001"/>
  </r>
  <r>
    <x v="78"/>
    <e v="#N/A"/>
    <s v="FOXO1"/>
    <s v="ATG5"/>
    <n v="-0.31118893800000003"/>
    <n v="0.31118893800000003"/>
    <n v="1.4323348E-2"/>
    <s v="hsa04213"/>
    <n v="0.27680254500000001"/>
  </r>
  <r>
    <x v="12"/>
    <s v="Biosynthesis of various nucleotide sugars KEGG"/>
    <s v="UAP1"/>
    <s v="GNE"/>
    <n v="-0.20674574400000001"/>
    <n v="0.20674574400000001"/>
    <n v="1.4353797999999999E-2"/>
    <s v="hsa00541"/>
    <n v="0.27680254500000001"/>
  </r>
  <r>
    <x v="4"/>
    <s v="Arginine and proline metabolism"/>
    <s v="PYCR2"/>
    <s v="LAP3"/>
    <n v="-0.93834817000000004"/>
    <n v="0.93834817000000004"/>
    <n v="1.4527164E-2"/>
    <s v="hsa00330"/>
    <n v="0.27680254500000001"/>
  </r>
  <r>
    <x v="7"/>
    <s v="Glycine, serine and threonine metabolism"/>
    <s v="SHMT1"/>
    <s v="GNMT"/>
    <n v="0.50239059900000005"/>
    <n v="0.50239059900000005"/>
    <n v="1.4874459E-2"/>
    <s v="hsa00260"/>
    <n v="0.27680254500000001"/>
  </r>
  <r>
    <x v="66"/>
    <s v="Glycerolipid metabolism genome.jp"/>
    <s v="CEL"/>
    <s v="CEL"/>
    <n v="-4.1000000000000001E-16"/>
    <n v="4.09842E-16"/>
    <n v="1.4934589E-2"/>
    <s v="hsa00561"/>
    <n v="0.27680254500000001"/>
  </r>
  <r>
    <x v="74"/>
    <s v="Toll‑like receptor signaling pathway"/>
    <s v="NFKB1"/>
    <s v="CCL3L3"/>
    <n v="-1.940716911"/>
    <n v="1.940716911"/>
    <n v="1.4959413E-2"/>
    <s v="hsa04620"/>
    <n v="0.27680254500000001"/>
  </r>
  <r>
    <x v="79"/>
    <s v="Lipid and atherosclerosis – Homo sapiens (human) KEGG"/>
    <s v="NFKB1"/>
    <s v="CCL3L3"/>
    <n v="-1.940716911"/>
    <n v="1.940716911"/>
    <n v="1.4959413E-2"/>
    <s v="hsa05417"/>
    <n v="0.27680254500000001"/>
  </r>
  <r>
    <x v="27"/>
    <s v="IL‑17 signaling pathway"/>
    <s v="NFKB1"/>
    <s v="LCN2"/>
    <n v="-1.4839796199999999"/>
    <n v="1.4839796199999999"/>
    <n v="1.4962403000000001E-2"/>
    <s v="hsa04657"/>
    <n v="0.27680254500000001"/>
  </r>
  <r>
    <x v="80"/>
    <s v="Retinol metabolism"/>
    <s v="RETSAT"/>
    <s v="DHRS9"/>
    <n v="0.98573822499999997"/>
    <n v="0.98573822499999997"/>
    <n v="1.4967078E-2"/>
    <s v="hsa00830"/>
    <n v="0.27680254500000001"/>
  </r>
  <r>
    <x v="42"/>
    <s v="β-Alanine metabolism KEGG"/>
    <s v="GAD1"/>
    <s v="CARNS1"/>
    <n v="0.21417641000000001"/>
    <n v="0.21417641000000001"/>
    <n v="1.5179806000000001E-2"/>
    <s v="hsa00410"/>
    <n v="0.27680254500000001"/>
  </r>
  <r>
    <x v="81"/>
    <s v="Thyroid hormone signaling pathway KEGG"/>
    <s v="THRB"/>
    <s v="CTNNB1"/>
    <n v="6.9521914000000004E-2"/>
    <n v="6.9521914000000004E-2"/>
    <n v="1.5187633000000001E-2"/>
    <s v="hsa04919"/>
    <n v="0.27680254500000001"/>
  </r>
  <r>
    <x v="33"/>
    <s v="Glycosphingolipid biosynthesis – lacto &amp; neolacto series genome.jp"/>
    <s v="FUT4"/>
    <s v="FUT4"/>
    <n v="-2.4E-16"/>
    <n v="2.4028599999999999E-16"/>
    <n v="1.5389475999999999E-2"/>
    <s v="hsa00601"/>
    <n v="0.27680254500000001"/>
  </r>
  <r>
    <x v="14"/>
    <s v="Purine metabolism"/>
    <s v="PAICS"/>
    <s v="PAICS"/>
    <n v="8.77E-17"/>
    <n v="8.7660799999999995E-17"/>
    <n v="1.5485495E-2"/>
    <s v="hsa00230"/>
    <n v="0.27680254500000001"/>
  </r>
  <r>
    <x v="82"/>
    <s v="Oxytocin signaling pathway KEGG"/>
    <s v="MAPK1"/>
    <s v="JUN"/>
    <n v="-0.53708767899999998"/>
    <n v="0.53708767899999998"/>
    <n v="1.5496443E-2"/>
    <s v="hsa04921"/>
    <n v="0.27680254500000001"/>
  </r>
  <r>
    <x v="55"/>
    <s v="Selenocompound metabolism genome.jp"/>
    <s v="KYAT3"/>
    <s v="TXNRD2"/>
    <n v="0.81219059000000005"/>
    <n v="0.81219059000000005"/>
    <n v="1.5536497999999999E-2"/>
    <s v="hsa00450"/>
    <n v="0.27680254500000001"/>
  </r>
  <r>
    <x v="83"/>
    <s v="Lipoic acid metabolism"/>
    <s v="LIPT2"/>
    <s v="LIAS"/>
    <n v="-0.119869799"/>
    <n v="0.119869799"/>
    <n v="1.5769885000000001E-2"/>
    <s v="hsa00785"/>
    <n v="0.27680254500000001"/>
  </r>
  <r>
    <x v="84"/>
    <s v="Human papillomavirus infection"/>
    <s v="E2F1"/>
    <s v="CCNA2"/>
    <n v="-0.337022875"/>
    <n v="0.337022875"/>
    <n v="1.5939239000000001E-2"/>
    <s v="hsa05165"/>
    <n v="0.27680254500000001"/>
  </r>
  <r>
    <x v="59"/>
    <s v="Galactose metabolism"/>
    <s v="GALM"/>
    <s v="GLA"/>
    <n v="0.27180778100000003"/>
    <n v="0.27180778100000003"/>
    <n v="1.5997378E-2"/>
    <s v="hsa00052"/>
    <n v="0.27680254500000001"/>
  </r>
  <r>
    <x v="43"/>
    <s v="Glycolysis / Gluconeogenesis"/>
    <s v="ALDOA"/>
    <s v="GAPDH"/>
    <n v="-0.231222234"/>
    <n v="0.231222234"/>
    <n v="1.6253981000000001E-2"/>
    <s v="hsa00010"/>
    <n v="0.27680254500000001"/>
  </r>
  <r>
    <x v="14"/>
    <s v="Purine metabolism"/>
    <s v="ITPA"/>
    <s v="NME6"/>
    <n v="0.178302504"/>
    <n v="0.178302504"/>
    <n v="1.6462912999999999E-2"/>
    <s v="hsa00230"/>
    <n v="0.27680254500000001"/>
  </r>
  <r>
    <x v="85"/>
    <e v="#N/A"/>
    <s v="NFKB1"/>
    <s v="CXCL10"/>
    <n v="1.460811697"/>
    <n v="1.460811697"/>
    <n v="1.6612279000000001E-2"/>
    <s v="hsa04622"/>
    <n v="0.27680254500000001"/>
  </r>
  <r>
    <x v="86"/>
    <e v="#N/A"/>
    <s v="NFKB1"/>
    <s v="CXCL10"/>
    <n v="1.460811697"/>
    <n v="1.460811697"/>
    <n v="1.6612279000000001E-2"/>
    <s v="hsa04623"/>
    <n v="0.27680254500000001"/>
  </r>
  <r>
    <x v="27"/>
    <s v="IL‑17 signaling pathway"/>
    <s v="NFKB1"/>
    <s v="CXCL10"/>
    <n v="1.460811697"/>
    <n v="1.460811697"/>
    <n v="1.6612279000000001E-2"/>
    <s v="hsa04657"/>
    <n v="0.27680254500000001"/>
  </r>
  <r>
    <x v="87"/>
    <e v="#N/A"/>
    <s v="NFKB1"/>
    <s v="CXCL10"/>
    <n v="1.460811697"/>
    <n v="1.460811697"/>
    <n v="1.6612279000000001E-2"/>
    <s v="hsa05160"/>
    <n v="0.27680254500000001"/>
  </r>
  <r>
    <x v="88"/>
    <s v="Influenza A"/>
    <s v="NFKB1"/>
    <s v="CXCL10"/>
    <n v="1.460811697"/>
    <n v="1.460811697"/>
    <n v="1.6612279000000001E-2"/>
    <s v="hsa05164"/>
    <n v="0.27680254500000001"/>
  </r>
  <r>
    <x v="14"/>
    <s v="Purine metabolism"/>
    <s v="NT5C1B-RDH14"/>
    <s v="PNP"/>
    <n v="0.40956259900000003"/>
    <n v="0.40956259900000003"/>
    <n v="1.6655831999999999E-2"/>
    <s v="hsa00230"/>
    <n v="0.27680254500000001"/>
  </r>
  <r>
    <x v="52"/>
    <s v="Nicotinate and nicotinamide metabolism"/>
    <s v="NT5C1B-RDH14"/>
    <s v="PNP"/>
    <n v="0.40956259900000003"/>
    <n v="0.40956259900000003"/>
    <n v="1.6655831999999999E-2"/>
    <s v="hsa00760"/>
    <n v="0.27680254500000001"/>
  </r>
  <r>
    <x v="11"/>
    <s v="Pantothenate and CoA biosynthesis"/>
    <s v="PANK1"/>
    <s v="COASY"/>
    <n v="0.130936577"/>
    <n v="0.130936577"/>
    <n v="1.6900361999999999E-2"/>
    <s v="hsa00770"/>
    <n v="0.27680254500000001"/>
  </r>
  <r>
    <x v="65"/>
    <s v="Lysine degradation"/>
    <s v="AASS"/>
    <s v="ALDH7A1"/>
    <n v="-0.61722737699999997"/>
    <n v="0.61722737699999997"/>
    <n v="1.6908093999999999E-2"/>
    <s v="hsa00310"/>
    <n v="0.27680254500000001"/>
  </r>
  <r>
    <x v="89"/>
    <e v="#N/A"/>
    <s v="PIGL"/>
    <s v="PIGW"/>
    <n v="-0.24588978"/>
    <n v="0.24588978"/>
    <n v="1.7031465999999999E-2"/>
    <s v="hsa00563"/>
    <n v="0.27680254500000001"/>
  </r>
  <r>
    <x v="3"/>
    <s v="Pyrimidine metabolism"/>
    <s v="CMPK2"/>
    <s v="DCK"/>
    <n v="-0.177082765"/>
    <n v="0.177082765"/>
    <n v="1.7211898E-2"/>
    <s v="hsa00240"/>
    <n v="0.27680254500000001"/>
  </r>
  <r>
    <x v="22"/>
    <s v="Pathways in cancer"/>
    <s v="EPAS1"/>
    <s v="TGFB1"/>
    <n v="-0.18007273800000001"/>
    <n v="0.18007273800000001"/>
    <n v="1.7262830999999999E-2"/>
    <s v="hsa05200"/>
    <n v="0.27680254500000001"/>
  </r>
  <r>
    <x v="56"/>
    <s v="Renal cell carcinoma"/>
    <s v="EPAS1"/>
    <s v="TGFB1"/>
    <n v="-0.18007273800000001"/>
    <n v="0.18007273800000001"/>
    <n v="1.7262830999999999E-2"/>
    <s v="hsa05211"/>
    <n v="0.27680254500000001"/>
  </r>
  <r>
    <x v="54"/>
    <s v="Fatty acid degradation"/>
    <s v="ECHS1"/>
    <s v="ACOX1"/>
    <n v="0.34328270999999999"/>
    <n v="0.34328270999999999"/>
    <n v="1.7317994E-2"/>
    <s v="hsa00071"/>
    <n v="0.27680254500000001"/>
  </r>
  <r>
    <x v="42"/>
    <s v="β-Alanine metabolism KEGG"/>
    <s v="ECHS1"/>
    <s v="ACOX1"/>
    <n v="0.34328270999999999"/>
    <n v="0.34328270999999999"/>
    <n v="1.7317994E-2"/>
    <s v="hsa00410"/>
    <n v="0.27680254500000001"/>
  </r>
  <r>
    <x v="32"/>
    <s v="Propanoate metabolism"/>
    <s v="ECHS1"/>
    <s v="ACOX1"/>
    <n v="0.34328270999999999"/>
    <n v="0.34328270999999999"/>
    <n v="1.7317994E-2"/>
    <s v="hsa00640"/>
    <n v="0.27680254500000001"/>
  </r>
  <r>
    <x v="57"/>
    <s v="Alanine, aspartate and glutamate metabolism"/>
    <s v="CAD"/>
    <s v="GLS2"/>
    <n v="0.84160610700000005"/>
    <n v="0.84160610700000005"/>
    <n v="1.7403108E-2"/>
    <s v="hsa00250"/>
    <n v="0.27680254500000001"/>
  </r>
  <r>
    <x v="52"/>
    <s v="Nicotinate and nicotinamide metabolism"/>
    <s v="PNP"/>
    <s v="SIRT2"/>
    <n v="-8.7845652999999996E-2"/>
    <n v="8.7845652999999996E-2"/>
    <n v="1.743977E-2"/>
    <s v="hsa00760"/>
    <n v="0.27680254500000001"/>
  </r>
  <r>
    <x v="3"/>
    <s v="Pyrimidine metabolism"/>
    <s v="NT5C3B"/>
    <s v="CDA"/>
    <n v="0.25898743800000001"/>
    <n v="0.25898743800000001"/>
    <n v="1.7469768E-2"/>
    <s v="hsa00240"/>
    <n v="0.27680254500000001"/>
  </r>
  <r>
    <x v="13"/>
    <s v="One carbon pool by folate"/>
    <s v="MTHFD2"/>
    <s v="SHMT1"/>
    <n v="0.41241303099999999"/>
    <n v="0.41241303099999999"/>
    <n v="1.7671836999999999E-2"/>
    <s v="hsa00670"/>
    <n v="0.27760357099999999"/>
  </r>
  <r>
    <x v="8"/>
    <s v="Tryptophan metabolism genome.jp"/>
    <s v="KMO"/>
    <s v="KYNU"/>
    <n v="-0.30822071099999998"/>
    <n v="0.30822071099999998"/>
    <n v="1.7770813999999999E-2"/>
    <s v="hsa00380"/>
    <n v="0.27760357099999999"/>
  </r>
  <r>
    <x v="90"/>
    <s v="Central carbon metabolism in cancer – Homo sapiens (human) KEGG"/>
    <s v="MYC"/>
    <s v="PKM"/>
    <n v="0.26536663399999999"/>
    <n v="0.26536663399999999"/>
    <n v="1.7775473999999999E-2"/>
    <s v="hsa05230"/>
    <n v="0.27760357099999999"/>
  </r>
  <r>
    <x v="26"/>
    <s v="AGE‑RAGE signaling pathway in diabetic complications genome.jp"/>
    <s v="NFKB1"/>
    <s v="EDN1"/>
    <n v="-0.88982486400000005"/>
    <n v="0.88982486400000005"/>
    <n v="1.8208662E-2"/>
    <s v="hsa04933"/>
    <n v="0.28003235799999998"/>
  </r>
  <r>
    <x v="51"/>
    <s v="Fluid shear stress and atherosclerosis – Homo sapiens (human) KEGG"/>
    <s v="NFKB1"/>
    <s v="EDN1"/>
    <n v="-0.88982486400000005"/>
    <n v="0.88982486400000005"/>
    <n v="1.8208662E-2"/>
    <s v="hsa05418"/>
    <n v="0.28003235799999998"/>
  </r>
  <r>
    <x v="91"/>
    <s v="Fatty acid elongation"/>
    <s v="ECHS1"/>
    <s v="HADH"/>
    <n v="-0.231429151"/>
    <n v="0.231429151"/>
    <n v="1.8227243000000001E-2"/>
    <s v="hsa00062"/>
    <n v="0.28003235799999998"/>
  </r>
  <r>
    <x v="33"/>
    <s v="Glycosphingolipid biosynthesis – lacto &amp; neolacto series genome.jp"/>
    <s v="B4GALT2"/>
    <s v="B3GNT5"/>
    <n v="0.27206675200000002"/>
    <n v="0.27206675200000002"/>
    <n v="1.8305741E-2"/>
    <s v="hsa00601"/>
    <n v="0.28003235799999998"/>
  </r>
  <r>
    <x v="76"/>
    <s v="Glycerophospholipid metabolism KEGG"/>
    <s v="PLD4"/>
    <s v="LPCAT3"/>
    <n v="9.7036794999999995E-2"/>
    <n v="9.7036794999999995E-2"/>
    <n v="1.8359964999999999E-2"/>
    <s v="hsa00564"/>
    <n v="0.28003235799999998"/>
  </r>
  <r>
    <x v="12"/>
    <s v="Biosynthesis of various nucleotide sugars KEGG"/>
    <s v="CMAS"/>
    <s v="NANS"/>
    <n v="0.183063589"/>
    <n v="0.183063589"/>
    <n v="1.8524094000000001E-2"/>
    <s v="hsa00541"/>
    <n v="0.28037501799999998"/>
  </r>
  <r>
    <x v="29"/>
    <s v="Growth hormone synthesis, secretion and action KEGG"/>
    <s v="GSK3B"/>
    <s v="IGFBP3"/>
    <n v="1.261591811"/>
    <n v="1.261591811"/>
    <n v="1.8554228999999998E-2"/>
    <s v="hsa04935"/>
    <n v="0.28037501799999998"/>
  </r>
  <r>
    <x v="9"/>
    <s v="Amino sugar and nucleotide sugar metabolism KEGG"/>
    <s v="GNPDA1"/>
    <s v="GPI"/>
    <n v="-0.32638384500000001"/>
    <n v="0.32638384500000001"/>
    <n v="1.8830085E-2"/>
    <s v="hsa00520"/>
    <n v="0.28323224699999999"/>
  </r>
  <r>
    <x v="31"/>
    <s v="Inositol phosphate metabolism genome.jp"/>
    <s v="PTEN"/>
    <s v="INPP5B"/>
    <n v="-0.16914786800000001"/>
    <n v="0.16914786800000001"/>
    <n v="1.9094567999999999E-2"/>
    <s v="hsa00562"/>
    <n v="0.28534754800000001"/>
  </r>
  <r>
    <x v="92"/>
    <e v="#N/A"/>
    <s v="P3R3URF-PIK3R3"/>
    <s v="BTK"/>
    <n v="0.120172019"/>
    <n v="0.120172019"/>
    <n v="1.9180414E-2"/>
    <s v="hsa04664"/>
    <n v="0.28534754800000001"/>
  </r>
  <r>
    <x v="76"/>
    <s v="Glycerophospholipid metabolism KEGG"/>
    <s v="PLD4"/>
    <s v="PLD4"/>
    <n v="1.3700000000000001E-16"/>
    <n v="1.3744699999999999E-16"/>
    <n v="1.9232984000000002E-2"/>
    <s v="hsa00564"/>
    <n v="0.28534754800000001"/>
  </r>
  <r>
    <x v="93"/>
    <e v="#N/A"/>
    <s v="GLUL"/>
    <s v="GLUD1"/>
    <n v="0.13829385299999999"/>
    <n v="0.13829385299999999"/>
    <n v="1.9755755999999999E-2"/>
    <s v="hsa00220"/>
    <n v="0.29045016200000001"/>
  </r>
  <r>
    <x v="57"/>
    <s v="Alanine, aspartate and glutamate metabolism"/>
    <s v="GLUL"/>
    <s v="GLUD1"/>
    <n v="0.13829385299999999"/>
    <n v="0.13829385299999999"/>
    <n v="1.9755755999999999E-2"/>
    <s v="hsa00250"/>
    <n v="0.29045016200000001"/>
  </r>
  <r>
    <x v="94"/>
    <e v="#N/A"/>
    <s v="STAT1"/>
    <s v="OAS1"/>
    <n v="0.37497959199999997"/>
    <n v="0.37497959199999997"/>
    <n v="1.9843868000000001E-2"/>
    <s v="hsa05168"/>
    <n v="0.29045016200000001"/>
  </r>
  <r>
    <x v="95"/>
    <s v="Ether lipid metabolism KEGG"/>
    <s v="PEDS1"/>
    <s v="LPCAT4"/>
    <n v="0.31621853500000002"/>
    <n v="0.31621853500000002"/>
    <n v="1.9966418E-2"/>
    <s v="hsa00565"/>
    <n v="0.29093922900000002"/>
  </r>
  <r>
    <x v="96"/>
    <e v="#N/A"/>
    <s v="SREBF1"/>
    <s v="SCD"/>
    <n v="-0.65761934200000005"/>
    <n v="0.65761934200000005"/>
    <n v="2.0215205E-2"/>
    <s v="hsa04152"/>
    <n v="0.29181596100000001"/>
  </r>
  <r>
    <x v="97"/>
    <s v="Alcoholic liver disease KEGG"/>
    <s v="SREBF1"/>
    <s v="SCD"/>
    <n v="-0.65761934200000005"/>
    <n v="0.65761934200000005"/>
    <n v="2.0215205E-2"/>
    <s v="hsa04936"/>
    <n v="0.29181596100000001"/>
  </r>
  <r>
    <x v="33"/>
    <s v="Glycosphingolipid biosynthesis – lacto &amp; neolacto series genome.jp"/>
    <s v="B4GALT3"/>
    <s v="ST3GAL6"/>
    <n v="-0.18510415599999999"/>
    <n v="0.18510415599999999"/>
    <n v="2.0294798999999999E-2"/>
    <s v="hsa00601"/>
    <n v="0.29181596100000001"/>
  </r>
  <r>
    <x v="21"/>
    <s v="Valine, leucine and isoleucine degradation"/>
    <s v="ECHS1"/>
    <s v="IVD"/>
    <n v="-0.242155441"/>
    <n v="0.242155441"/>
    <n v="2.0575406000000001E-2"/>
    <s v="hsa00280"/>
    <n v="0.294553175"/>
  </r>
  <r>
    <x v="98"/>
    <s v="Pentose phosphate pathway"/>
    <s v="RPE"/>
    <s v="PGD"/>
    <n v="0.561746627"/>
    <n v="0.561746627"/>
    <n v="2.0714511000000001E-2"/>
    <s v="hsa00030"/>
    <n v="0.29511029100000002"/>
  </r>
  <r>
    <x v="99"/>
    <s v="Apelin signaling pathway"/>
    <s v="PRKAG2"/>
    <s v="PPARGC1A"/>
    <n v="-1.7837626719999999"/>
    <n v="1.7837626719999999"/>
    <n v="2.0842506E-2"/>
    <s v="hsa04371"/>
    <n v="0.29511029100000002"/>
  </r>
  <r>
    <x v="100"/>
    <s v="Folate biosynthesis"/>
    <s v="GPHN"/>
    <s v="GPHN"/>
    <n v="1.38E-16"/>
    <n v="1.3750699999999999E-16"/>
    <n v="2.1079601E-2"/>
    <s v="hsa00790"/>
    <n v="0.29511029100000002"/>
  </r>
  <r>
    <x v="70"/>
    <s v="Sphingolipid metabolism genome.jp"/>
    <s v="ASAH1"/>
    <s v="SPHK2"/>
    <n v="-0.26703022799999998"/>
    <n v="0.26703022799999998"/>
    <n v="2.1283854000000001E-2"/>
    <s v="hsa00600"/>
    <n v="0.29511029100000002"/>
  </r>
  <r>
    <x v="87"/>
    <e v="#N/A"/>
    <s v="IRF9"/>
    <s v="OAS1"/>
    <n v="0.61365235699999998"/>
    <n v="0.61365235699999998"/>
    <n v="2.1337630999999999E-2"/>
    <s v="hsa05160"/>
    <n v="0.29511029100000002"/>
  </r>
  <r>
    <x v="101"/>
    <e v="#N/A"/>
    <s v="IRF9"/>
    <s v="OAS1"/>
    <n v="0.61365235699999998"/>
    <n v="0.61365235699999998"/>
    <n v="2.1337630999999999E-2"/>
    <s v="hsa05162"/>
    <n v="0.29511029100000002"/>
  </r>
  <r>
    <x v="88"/>
    <s v="Influenza A"/>
    <s v="IRF9"/>
    <s v="OAS1"/>
    <n v="0.61365235699999998"/>
    <n v="0.61365235699999998"/>
    <n v="2.1337630999999999E-2"/>
    <s v="hsa05164"/>
    <n v="0.29511029100000002"/>
  </r>
  <r>
    <x v="102"/>
    <e v="#N/A"/>
    <s v="IRF9"/>
    <s v="OAS1"/>
    <n v="0.61365235699999998"/>
    <n v="0.61365235699999998"/>
    <n v="2.1337630999999999E-2"/>
    <s v="hsa05171"/>
    <n v="0.29511029100000002"/>
  </r>
  <r>
    <x v="15"/>
    <s v="Drug metabolism – other enzymes"/>
    <s v="CMPK1"/>
    <s v="UMPS"/>
    <n v="-0.38004855100000001"/>
    <n v="0.38004855100000001"/>
    <n v="2.1775454999999999E-2"/>
    <s v="hsa00983"/>
    <n v="0.29989487999999997"/>
  </r>
  <r>
    <x v="87"/>
    <e v="#N/A"/>
    <s v="IRF9"/>
    <s v="EIF2AK1"/>
    <n v="-0.62649950799999998"/>
    <n v="0.62649950799999998"/>
    <n v="2.2098512000000001E-2"/>
    <s v="hsa05160"/>
    <n v="0.30179725699999999"/>
  </r>
  <r>
    <x v="101"/>
    <e v="#N/A"/>
    <s v="IRF9"/>
    <s v="EIF2AK1"/>
    <n v="-0.62649950799999998"/>
    <n v="0.62649950799999998"/>
    <n v="2.2098512000000001E-2"/>
    <s v="hsa05162"/>
    <n v="0.30179725699999999"/>
  </r>
  <r>
    <x v="6"/>
    <s v="N‑Glycan biosynthesis KEGG"/>
    <s v="B4GALT1"/>
    <s v="ST6GAL1"/>
    <n v="0.32743803799999999"/>
    <n v="0.32743803799999999"/>
    <n v="2.2268901000000001E-2"/>
    <s v="hsa00510"/>
    <n v="0.30285704899999999"/>
  </r>
  <r>
    <x v="44"/>
    <s v="Th1 and Th2 cell differentiation"/>
    <s v="NFKB1"/>
    <s v="IL4R"/>
    <n v="-0.44531308600000002"/>
    <n v="0.44531308600000002"/>
    <n v="2.2509365999999999E-2"/>
    <s v="hsa04658"/>
    <n v="0.30347431600000002"/>
  </r>
  <r>
    <x v="22"/>
    <s v="Pathways in cancer"/>
    <s v="LEF1"/>
    <s v="BIRC5"/>
    <n v="0.39624176300000002"/>
    <n v="0.39624176300000002"/>
    <n v="2.2593216999999999E-2"/>
    <s v="hsa05200"/>
    <n v="0.30347431600000002"/>
  </r>
  <r>
    <x v="103"/>
    <s v="Bladder cancer"/>
    <s v="LEF1"/>
    <s v="BIRC5"/>
    <n v="0.39624176300000002"/>
    <n v="0.39624176300000002"/>
    <n v="2.2593216999999999E-2"/>
    <s v="hsa05210"/>
    <n v="0.30347431600000002"/>
  </r>
  <r>
    <x v="0"/>
    <s v="Cysteine and methionine metabolism"/>
    <s v="CTH"/>
    <s v="KYAT3"/>
    <n v="8.3510337000000004E-2"/>
    <n v="8.3510337000000004E-2"/>
    <n v="2.2784061000000001E-2"/>
    <s v="hsa00270"/>
    <n v="0.30353949699999999"/>
  </r>
  <r>
    <x v="55"/>
    <s v="Selenocompound metabolism genome.jp"/>
    <s v="CTH"/>
    <s v="KYAT3"/>
    <n v="8.3510337000000004E-2"/>
    <n v="8.3510337000000004E-2"/>
    <n v="2.2784061000000001E-2"/>
    <s v="hsa00450"/>
    <n v="0.30353949699999999"/>
  </r>
  <r>
    <x v="104"/>
    <e v="#N/A"/>
    <s v="LSS"/>
    <s v="DHCR24"/>
    <n v="-0.52108826799999997"/>
    <n v="0.52108826799999997"/>
    <n v="2.2983542999999999E-2"/>
    <s v="hsa00100"/>
    <n v="0.30495237400000003"/>
  </r>
  <r>
    <x v="32"/>
    <s v="Propanoate metabolism"/>
    <s v="ALDH6A1"/>
    <s v="ECHDC1"/>
    <n v="0.226013995"/>
    <n v="0.226013995"/>
    <n v="2.3321469000000001E-2"/>
    <s v="hsa00640"/>
    <n v="0.307609735"/>
  </r>
  <r>
    <x v="105"/>
    <s v="Apoptosis"/>
    <s v="NOL3"/>
    <s v="CASP8"/>
    <n v="0.175508844"/>
    <n v="0.175508844"/>
    <n v="2.3493377999999999E-2"/>
    <s v="hsa04210"/>
    <n v="0.307609735"/>
  </r>
  <r>
    <x v="70"/>
    <s v="Sphingolipid metabolism genome.jp"/>
    <s v="SGPP2"/>
    <s v="SGPL1"/>
    <n v="9.9051284000000003E-2"/>
    <n v="9.9051284000000003E-2"/>
    <n v="2.3603256999999999E-2"/>
    <s v="hsa00600"/>
    <n v="0.307609735"/>
  </r>
  <r>
    <x v="98"/>
    <s v="Pentose phosphate pathway"/>
    <s v="TALDO1"/>
    <s v="TKT"/>
    <n v="-0.176395676"/>
    <n v="0.176395676"/>
    <n v="2.3716259999999999E-2"/>
    <s v="hsa00030"/>
    <n v="0.307609735"/>
  </r>
  <r>
    <x v="15"/>
    <s v="Drug metabolism – other enzymes"/>
    <s v="IMPDH1"/>
    <s v="GMPS"/>
    <n v="0.12664852300000001"/>
    <n v="0.12664852300000001"/>
    <n v="2.3747900999999998E-2"/>
    <s v="hsa00983"/>
    <n v="0.307609735"/>
  </r>
  <r>
    <x v="106"/>
    <s v="Metabolism of xenobiotics by cytochrome P450"/>
    <s v="EPHX1"/>
    <s v="CYP1B1"/>
    <n v="0.28587343199999998"/>
    <n v="0.28587343199999998"/>
    <n v="2.3985225999999998E-2"/>
    <s v="hsa00980"/>
    <n v="0.307609735"/>
  </r>
  <r>
    <x v="76"/>
    <s v="Glycerophospholipid metabolism KEGG"/>
    <s v="GPD2"/>
    <s v="ADPRM"/>
    <n v="0.313434039"/>
    <n v="0.313434039"/>
    <n v="2.4010211E-2"/>
    <s v="hsa00564"/>
    <n v="0.307609735"/>
  </r>
  <r>
    <x v="100"/>
    <s v="Folate biosynthesis"/>
    <s v="FPGS"/>
    <s v="GGH"/>
    <n v="0.74885419099999995"/>
    <n v="0.74885419099999995"/>
    <n v="2.4036589000000001E-2"/>
    <s v="hsa00790"/>
    <n v="0.307609735"/>
  </r>
  <r>
    <x v="14"/>
    <s v="Purine metabolism"/>
    <s v="CANT1"/>
    <s v="NME6"/>
    <n v="-0.143659548"/>
    <n v="0.143659548"/>
    <n v="2.4046189999999999E-2"/>
    <s v="hsa00230"/>
    <n v="0.307609735"/>
  </r>
  <r>
    <x v="33"/>
    <s v="Glycosphingolipid biosynthesis – lacto &amp; neolacto series genome.jp"/>
    <s v="ABO"/>
    <s v="ABO"/>
    <n v="-1.67E-16"/>
    <n v="1.6657899999999999E-16"/>
    <n v="2.4223709E-2"/>
    <s v="hsa00601"/>
    <n v="0.307609735"/>
  </r>
  <r>
    <x v="107"/>
    <s v="Glycosphingolipid biosynthesis – globo &amp; isoglobo series genome.jp"/>
    <s v="ABO"/>
    <s v="ABO"/>
    <n v="-1.67E-16"/>
    <n v="1.6657899999999999E-16"/>
    <n v="2.4223709E-2"/>
    <s v="hsa00603"/>
    <n v="0.307609735"/>
  </r>
  <r>
    <x v="108"/>
    <e v="#N/A"/>
    <s v="AR"/>
    <s v="PRKACA"/>
    <n v="0.125474538"/>
    <n v="0.125474538"/>
    <n v="2.4314740000000001E-2"/>
    <s v="hsa04114"/>
    <n v="0.307609735"/>
  </r>
  <r>
    <x v="34"/>
    <s v="Mucin‑type O‑glycan biosynthesis KEGG"/>
    <s v="POC1B-GALNT4"/>
    <s v="C1GALT1C1"/>
    <n v="-0.29487242299999999"/>
    <n v="0.29487242299999999"/>
    <n v="2.4633295999999999E-2"/>
    <s v="hsa00512"/>
    <n v="0.30945006400000002"/>
  </r>
  <r>
    <x v="14"/>
    <s v="Purine metabolism"/>
    <s v="NT5C1B-RDH14"/>
    <s v="ADA"/>
    <n v="0.28536109100000001"/>
    <n v="0.28536109100000001"/>
    <n v="2.4649820999999999E-2"/>
    <s v="hsa00230"/>
    <n v="0.30945006400000002"/>
  </r>
  <r>
    <x v="81"/>
    <s v="Thyroid hormone signaling pathway KEGG"/>
    <s v="HIF1A"/>
    <s v="SLC2A1"/>
    <n v="-0.79880453699999998"/>
    <n v="0.79880453699999998"/>
    <n v="2.5060547999999998E-2"/>
    <s v="hsa04919"/>
    <n v="0.31220469200000001"/>
  </r>
  <r>
    <x v="90"/>
    <s v="Central carbon metabolism in cancer – Homo sapiens (human) KEGG"/>
    <s v="HIF1A"/>
    <s v="SLC2A1"/>
    <n v="-0.79880453699999998"/>
    <n v="0.79880453699999998"/>
    <n v="2.5060547999999998E-2"/>
    <s v="hsa05230"/>
    <n v="0.31220469200000001"/>
  </r>
  <r>
    <x v="107"/>
    <s v="Glycosphingolipid biosynthesis – globo &amp; isoglobo series genome.jp"/>
    <s v="ST3GAL1"/>
    <s v="ST8SIA1"/>
    <n v="1.0111129940000001"/>
    <n v="1.0111129940000001"/>
    <n v="2.5167798000000002E-2"/>
    <s v="hsa00603"/>
    <n v="0.31234864600000001"/>
  </r>
  <r>
    <x v="10"/>
    <s v="Arachidonic acid metabolism genome.jp"/>
    <s v="CYP2E1"/>
    <s v="ALOX15"/>
    <n v="0.56304253000000004"/>
    <n v="0.56304253000000004"/>
    <n v="2.5678317999999999E-2"/>
    <s v="hsa00590"/>
    <n v="0.31627935499999998"/>
  </r>
  <r>
    <x v="109"/>
    <s v="Linoleic acid metabolism genome.jp"/>
    <s v="CYP2E1"/>
    <s v="ALOX15"/>
    <n v="0.56304253000000004"/>
    <n v="0.56304253000000004"/>
    <n v="2.5678317999999999E-2"/>
    <s v="hsa00591"/>
    <n v="0.31627935499999998"/>
  </r>
  <r>
    <x v="52"/>
    <s v="Nicotinate and nicotinamide metabolism"/>
    <s v="BST1"/>
    <s v="SIRT2"/>
    <n v="-0.106225297"/>
    <n v="0.106225297"/>
    <n v="2.608282E-2"/>
    <s v="hsa00760"/>
    <n v="0.320053845"/>
  </r>
  <r>
    <x v="14"/>
    <s v="Purine metabolism"/>
    <s v="NME6"/>
    <s v="ITPA"/>
    <n v="0.606063299"/>
    <n v="0.606063299"/>
    <n v="2.6464453999999998E-2"/>
    <s v="hsa00230"/>
    <n v="0.32270560199999998"/>
  </r>
  <r>
    <x v="2"/>
    <s v="Glutathione metabolism KEGG"/>
    <s v="ANPEP"/>
    <s v="CHAC2"/>
    <n v="-0.29756844100000002"/>
    <n v="0.29756844100000002"/>
    <n v="2.652345E-2"/>
    <s v="hsa00480"/>
    <n v="0.32270560199999998"/>
  </r>
  <r>
    <x v="7"/>
    <s v="Glycine, serine and threonine metabolism"/>
    <s v="PSPH"/>
    <s v="SRR"/>
    <n v="0.377232646"/>
    <n v="0.377232646"/>
    <n v="2.6699553000000001E-2"/>
    <s v="hsa00260"/>
    <n v="0.32270560199999998"/>
  </r>
  <r>
    <x v="70"/>
    <s v="Sphingolipid metabolism genome.jp"/>
    <s v="GLA"/>
    <s v="GALC"/>
    <n v="-0.20050439"/>
    <n v="0.20050439"/>
    <n v="2.6755628E-2"/>
    <s v="hsa00600"/>
    <n v="0.32270560199999998"/>
  </r>
  <r>
    <x v="95"/>
    <s v="Ether lipid metabolism KEGG"/>
    <s v="GDPD1"/>
    <s v="LPCAT4"/>
    <n v="0.161038179"/>
    <n v="0.161038179"/>
    <n v="2.6843045999999999E-2"/>
    <s v="hsa00565"/>
    <n v="0.32270560199999998"/>
  </r>
  <r>
    <x v="12"/>
    <s v="Biosynthesis of various nucleotide sugars KEGG"/>
    <s v="NANP"/>
    <s v="NPL"/>
    <n v="0.28198261200000002"/>
    <n v="0.28198261200000002"/>
    <n v="2.6892132999999999E-2"/>
    <s v="hsa00541"/>
    <n v="0.32270560199999998"/>
  </r>
  <r>
    <x v="100"/>
    <s v="Folate biosynthesis"/>
    <s v="PTS"/>
    <s v="AKR1C8"/>
    <n v="-1.629042501"/>
    <n v="1.629042501"/>
    <n v="2.7007841000000001E-2"/>
    <s v="hsa00790"/>
    <n v="0.32274842599999998"/>
  </r>
  <r>
    <x v="32"/>
    <s v="Propanoate metabolism"/>
    <s v="ACOX1"/>
    <s v="DBT"/>
    <n v="0.14254955399999999"/>
    <n v="0.14254955399999999"/>
    <n v="2.7093465000000001E-2"/>
    <s v="hsa00640"/>
    <n v="0.32274842599999998"/>
  </r>
  <r>
    <x v="69"/>
    <s v="Phosphatidylinositol signaling system"/>
    <s v="INPP5A"/>
    <s v="ITPK1"/>
    <n v="0.231700821"/>
    <n v="0.231700821"/>
    <n v="2.7240528999999999E-2"/>
    <s v="hsa04070"/>
    <n v="0.323320318"/>
  </r>
  <r>
    <x v="52"/>
    <s v="Nicotinate and nicotinamide metabolism"/>
    <s v="SARM1"/>
    <s v="NADK2"/>
    <n v="-0.177798498"/>
    <n v="0.177798498"/>
    <n v="2.7453688E-2"/>
    <s v="hsa00760"/>
    <n v="0.324669702"/>
  </r>
  <r>
    <x v="70"/>
    <s v="Sphingolipid metabolism genome.jp"/>
    <s v="GALC"/>
    <s v="PLPP1"/>
    <n v="0.97803337000000001"/>
    <n v="0.97803337000000001"/>
    <n v="2.8764714E-2"/>
    <s v="hsa00600"/>
    <n v="0.33839925900000001"/>
  </r>
  <r>
    <x v="14"/>
    <s v="Purine metabolism"/>
    <s v="NUDT16"/>
    <s v="NME6"/>
    <n v="-0.14757411300000001"/>
    <n v="0.14757411300000001"/>
    <n v="2.8821995999999999E-2"/>
    <s v="hsa00230"/>
    <n v="0.33839925900000001"/>
  </r>
  <r>
    <x v="70"/>
    <s v="Sphingolipid metabolism genome.jp"/>
    <s v="GALC"/>
    <s v="ARSA"/>
    <n v="-0.455498705"/>
    <n v="0.455498705"/>
    <n v="2.9014755E-2"/>
    <s v="hsa00600"/>
    <n v="0.33944142999999999"/>
  </r>
  <r>
    <x v="43"/>
    <s v="Glycolysis / Gluconeogenesis"/>
    <s v="BPGM"/>
    <s v="PGK1"/>
    <n v="8.4660371999999998E-2"/>
    <n v="8.4660371999999998E-2"/>
    <n v="2.9278965000000001E-2"/>
    <s v="hsa00010"/>
    <n v="0.340361472"/>
  </r>
  <r>
    <x v="110"/>
    <s v="Melanogenesis KEGG"/>
    <s v="MITF"/>
    <s v="DCT"/>
    <n v="-0.63175772799999996"/>
    <n v="0.63175772799999996"/>
    <n v="2.9301952999999999E-2"/>
    <s v="hsa04916"/>
    <n v="0.340361472"/>
  </r>
  <r>
    <x v="111"/>
    <s v="p53 signaling pathway"/>
    <s v="TP53"/>
    <s v="TP73"/>
    <n v="1.0383991619999999"/>
    <n v="1.0383991619999999"/>
    <n v="2.9850301999999999E-2"/>
    <s v="hsa04115"/>
    <n v="0.34326722700000001"/>
  </r>
  <r>
    <x v="14"/>
    <s v="Purine metabolism"/>
    <s v="NME6"/>
    <s v="CANT1"/>
    <n v="-0.66139500200000001"/>
    <n v="0.66139500200000001"/>
    <n v="2.9881755999999999E-2"/>
    <s v="hsa00230"/>
    <n v="0.34326722700000001"/>
  </r>
  <r>
    <x v="3"/>
    <s v="Pyrimidine metabolism"/>
    <s v="NME6"/>
    <s v="CANT1"/>
    <n v="-0.66139500200000001"/>
    <n v="0.66139500200000001"/>
    <n v="2.9881755999999999E-2"/>
    <s v="hsa00240"/>
    <n v="0.34326722700000001"/>
  </r>
  <r>
    <x v="14"/>
    <s v="Purine metabolism"/>
    <s v="PNP"/>
    <s v="NT5C1B-RDH14"/>
    <n v="0.237227035"/>
    <n v="0.237227035"/>
    <n v="3.0329752000000001E-2"/>
    <s v="hsa00230"/>
    <n v="0.34326722700000001"/>
  </r>
  <r>
    <x v="112"/>
    <s v="Human T‑cell leukemia virus 1 infection"/>
    <s v="TCF3"/>
    <s v="POLB"/>
    <n v="-0.19700943600000001"/>
    <n v="0.19700943600000001"/>
    <n v="3.0367069999999999E-2"/>
    <s v="hsa05166"/>
    <n v="0.34326722700000001"/>
  </r>
  <r>
    <x v="29"/>
    <s v="Growth hormone synthesis, secretion and action KEGG"/>
    <s v="STAT1"/>
    <s v="IGFBP3"/>
    <n v="0.57070164999999995"/>
    <n v="0.57070164999999995"/>
    <n v="3.0444816E-2"/>
    <s v="hsa04935"/>
    <n v="0.34326722700000001"/>
  </r>
  <r>
    <x v="113"/>
    <s v="Porphyrin and chlorophyll metabolism"/>
    <s v="ALAS1"/>
    <s v="ALAD"/>
    <n v="-0.32417559000000001"/>
    <n v="0.32417559000000001"/>
    <n v="3.0454979E-2"/>
    <s v="hsa00860"/>
    <n v="0.34326722700000001"/>
  </r>
  <r>
    <x v="13"/>
    <s v="One carbon pool by folate"/>
    <s v="TYMS"/>
    <s v="MTHFR"/>
    <n v="-7.9545517999999996E-2"/>
    <n v="7.9545517999999996E-2"/>
    <n v="3.0478838000000001E-2"/>
    <s v="hsa00670"/>
    <n v="0.34326722700000001"/>
  </r>
  <r>
    <x v="44"/>
    <s v="Th1 and Th2 cell differentiation"/>
    <s v="NFKB1"/>
    <s v="IL12RB1"/>
    <n v="0.40325146099999998"/>
    <n v="0.40325146099999998"/>
    <n v="3.0596446999999999E-2"/>
    <s v="hsa04658"/>
    <n v="0.34326722700000001"/>
  </r>
  <r>
    <x v="21"/>
    <s v="Valine, leucine and isoleucine degradation"/>
    <s v="AOX1"/>
    <s v="HIBADH"/>
    <n v="-7.0041797000000003E-2"/>
    <n v="7.0041797000000003E-2"/>
    <n v="3.0603788E-2"/>
    <s v="hsa00280"/>
    <n v="0.34326722700000001"/>
  </r>
  <r>
    <x v="22"/>
    <s v="Pathways in cancer"/>
    <s v="CEBPA"/>
    <s v="MYC"/>
    <n v="0.27860273499999999"/>
    <n v="0.27860273499999999"/>
    <n v="3.0828999999999999E-2"/>
    <s v="hsa05200"/>
    <n v="0.34335423300000001"/>
  </r>
  <r>
    <x v="69"/>
    <s v="Phosphatidylinositol signaling system"/>
    <s v="PTEN"/>
    <s v="INPP4A"/>
    <n v="-0.12255448300000001"/>
    <n v="0.12255448300000001"/>
    <n v="3.0864315999999999E-2"/>
    <s v="hsa04070"/>
    <n v="0.34335423300000001"/>
  </r>
  <r>
    <x v="52"/>
    <s v="Nicotinate and nicotinamide metabolism"/>
    <s v="BST1"/>
    <s v="NADK2"/>
    <n v="0.126755642"/>
    <n v="0.126755642"/>
    <n v="3.0927128000000002E-2"/>
    <s v="hsa00760"/>
    <n v="0.34335423300000001"/>
  </r>
  <r>
    <x v="87"/>
    <e v="#N/A"/>
    <s v="IRF9"/>
    <s v="IRF7"/>
    <n v="0.39080794600000002"/>
    <n v="0.39080794600000002"/>
    <n v="3.1269599000000002E-2"/>
    <s v="hsa05160"/>
    <n v="0.34481070899999999"/>
  </r>
  <r>
    <x v="50"/>
    <s v="Kaposi sarcoma‑associated herpesvirus infection"/>
    <s v="IRF9"/>
    <s v="IRF7"/>
    <n v="0.39080794600000002"/>
    <n v="0.39080794600000002"/>
    <n v="3.1269599000000002E-2"/>
    <s v="hsa05167"/>
    <n v="0.34481070899999999"/>
  </r>
  <r>
    <x v="30"/>
    <e v="#N/A"/>
    <s v="CARNMT1"/>
    <s v="CNDP2"/>
    <n v="-0.344171373"/>
    <n v="0.344171373"/>
    <n v="3.1440650000000001E-2"/>
    <s v="hsa00340"/>
    <n v="0.34552956400000001"/>
  </r>
  <r>
    <x v="32"/>
    <s v="Propanoate metabolism"/>
    <s v="ALDH6A1"/>
    <s v="ACADS"/>
    <n v="-0.42165443699999999"/>
    <n v="0.42165443699999999"/>
    <n v="3.1699647999999997E-2"/>
    <s v="hsa00640"/>
    <n v="0.34720688399999999"/>
  </r>
  <r>
    <x v="10"/>
    <s v="Arachidonic acid metabolism genome.jp"/>
    <s v="CYP2U1"/>
    <s v="ALOX5"/>
    <n v="0.238776557"/>
    <n v="0.238776557"/>
    <n v="3.1927921999999997E-2"/>
    <s v="hsa00590"/>
    <n v="0.34758510199999998"/>
  </r>
  <r>
    <x v="0"/>
    <s v="Cysteine and methionine metabolism"/>
    <s v="PSAT1"/>
    <s v="PHGDH"/>
    <n v="0.29836980200000002"/>
    <n v="0.29836980200000002"/>
    <n v="3.1981144000000003E-2"/>
    <s v="hsa00270"/>
    <n v="0.34758510199999998"/>
  </r>
  <r>
    <x v="114"/>
    <s v="Aldosterone‑regulated sodium reabsorption KEGG"/>
    <s v="NR3C2"/>
    <s v="KRAS"/>
    <n v="9.5130269000000003E-2"/>
    <n v="9.5130269000000003E-2"/>
    <n v="3.2144638000000003E-2"/>
    <s v="hsa04960"/>
    <n v="0.34758510199999998"/>
  </r>
  <r>
    <x v="4"/>
    <s v="Arginine and proline metabolism"/>
    <s v="OAT"/>
    <s v="ALDH4A1"/>
    <n v="-0.38800547400000002"/>
    <n v="0.38800547400000002"/>
    <n v="3.2238569000000002E-2"/>
    <s v="hsa00330"/>
    <n v="0.34758510199999998"/>
  </r>
  <r>
    <x v="105"/>
    <s v="Apoptosis"/>
    <s v="FOS"/>
    <s v="BCL2L11"/>
    <n v="-0.21024944100000001"/>
    <n v="0.21024944100000001"/>
    <n v="3.2266632000000003E-2"/>
    <s v="hsa04210"/>
    <n v="0.34758510199999998"/>
  </r>
  <r>
    <x v="73"/>
    <s v="Fatty acid biosynthesis"/>
    <s v="ACSF3"/>
    <s v="ACACA"/>
    <n v="0.28359336099999999"/>
    <n v="0.28359336099999999"/>
    <n v="3.2582661999999998E-2"/>
    <s v="hsa00061"/>
    <n v="0.34983489299999998"/>
  </r>
  <r>
    <x v="69"/>
    <s v="Phosphatidylinositol signaling system"/>
    <s v="PTEN"/>
    <s v="PIKFYVE"/>
    <n v="-0.109166952"/>
    <n v="0.109166952"/>
    <n v="3.2804145E-2"/>
    <s v="hsa04070"/>
    <n v="0.351058127"/>
  </r>
  <r>
    <x v="12"/>
    <s v="Biosynthesis of various nucleotide sugars KEGG"/>
    <s v="NANP"/>
    <s v="NANS"/>
    <n v="0.227674923"/>
    <n v="0.227674923"/>
    <n v="3.3116759000000003E-2"/>
    <s v="hsa00541"/>
    <n v="0.35225659100000001"/>
  </r>
  <r>
    <x v="100"/>
    <s v="Folate biosynthesis"/>
    <s v="MOCS1"/>
    <s v="MOCS2"/>
    <n v="-0.110117441"/>
    <n v="0.110117441"/>
    <n v="3.3144564000000001E-2"/>
    <s v="hsa00790"/>
    <n v="0.35225659100000001"/>
  </r>
  <r>
    <x v="27"/>
    <s v="IL‑17 signaling pathway"/>
    <s v="FOS"/>
    <s v="S100A8"/>
    <n v="-0.42420095299999999"/>
    <n v="0.42420095299999999"/>
    <n v="3.3239899000000003E-2"/>
    <s v="hsa04657"/>
    <n v="0.35225659100000001"/>
  </r>
  <r>
    <x v="53"/>
    <s v="Epstein‑Barr virus infection"/>
    <s v="NFKB1"/>
    <s v="ITGAL"/>
    <n v="0.236304397"/>
    <n v="0.236304397"/>
    <n v="3.3547059999999997E-2"/>
    <s v="hsa05169"/>
    <n v="0.35360705999999997"/>
  </r>
  <r>
    <x v="52"/>
    <s v="Nicotinate and nicotinamide metabolism"/>
    <s v="BST1"/>
    <s v="PNP"/>
    <n v="-0.37865910600000002"/>
    <n v="0.37865910600000002"/>
    <n v="3.3584004000000001E-2"/>
    <s v="hsa00760"/>
    <n v="0.35360705999999997"/>
  </r>
  <r>
    <x v="27"/>
    <s v="IL‑17 signaling pathway"/>
    <s v="FOS"/>
    <s v="LCN2"/>
    <n v="-0.85330089899999995"/>
    <n v="0.85330089899999995"/>
    <n v="3.3884099000000001E-2"/>
    <s v="hsa04657"/>
    <n v="0.355619609"/>
  </r>
  <r>
    <x v="23"/>
    <e v="#N/A"/>
    <s v="PML"/>
    <s v="CEBPE"/>
    <n v="-0.46290884900000001"/>
    <n v="0.46290884900000001"/>
    <n v="3.4218147999999997E-2"/>
    <s v="hsa05221"/>
    <n v="0.357295525"/>
  </r>
  <r>
    <x v="69"/>
    <s v="Phosphatidylinositol signaling system"/>
    <s v="PLCD3"/>
    <s v="CDIPT"/>
    <n v="-0.25704514499999997"/>
    <n v="0.25704514499999997"/>
    <n v="3.4262714E-2"/>
    <s v="hsa04070"/>
    <n v="0.357295525"/>
  </r>
  <r>
    <x v="3"/>
    <s v="Pyrimidine metabolism"/>
    <s v="TYMS"/>
    <s v="ENPP1"/>
    <n v="0.328133281"/>
    <n v="0.328133281"/>
    <n v="3.4854414E-2"/>
    <s v="hsa00240"/>
    <n v="0.36162132800000002"/>
  </r>
  <r>
    <x v="34"/>
    <s v="Mucin‑type O‑glycan biosynthesis KEGG"/>
    <s v="ST6GALNAC2"/>
    <s v="ST3GAL1"/>
    <n v="-0.13602866599999999"/>
    <n v="0.13602866599999999"/>
    <n v="3.4932224999999997E-2"/>
    <s v="hsa00512"/>
    <n v="0.36162132800000002"/>
  </r>
  <r>
    <x v="43"/>
    <s v="Glycolysis / Gluconeogenesis"/>
    <s v="GAPDH"/>
    <s v="PGK1"/>
    <n v="-0.13053047000000001"/>
    <n v="0.13053047000000001"/>
    <n v="3.5009907999999999E-2"/>
    <s v="hsa00010"/>
    <n v="0.36162132800000002"/>
  </r>
  <r>
    <x v="2"/>
    <s v="Glutathione metabolism KEGG"/>
    <s v="LAP3"/>
    <s v="CHAC2"/>
    <n v="-0.25505097300000001"/>
    <n v="0.25505097300000001"/>
    <n v="3.6006907999999997E-2"/>
    <s v="hsa00480"/>
    <n v="0.37074620699999999"/>
  </r>
  <r>
    <x v="111"/>
    <s v="p53 signaling pathway"/>
    <s v="TP53"/>
    <s v="ADGRB1"/>
    <n v="0.73694996800000001"/>
    <n v="0.73694996800000001"/>
    <n v="3.6314411999999997E-2"/>
    <s v="hsa04115"/>
    <n v="0.37253064600000002"/>
  </r>
  <r>
    <x v="100"/>
    <s v="Folate biosynthesis"/>
    <s v="GPHN"/>
    <s v="MOCOS"/>
    <n v="-0.92372440099999997"/>
    <n v="0.92372440099999997"/>
    <n v="3.6408479000000001E-2"/>
    <s v="hsa00790"/>
    <n v="0.37253064600000002"/>
  </r>
  <r>
    <x v="115"/>
    <s v="Fructose and mannose metabolism"/>
    <s v="GFUS"/>
    <s v="GMDS"/>
    <n v="-7.6692789999999997E-2"/>
    <n v="7.6692789999999997E-2"/>
    <n v="3.6534575999999999E-2"/>
    <s v="hsa00051"/>
    <n v="0.37265267600000002"/>
  </r>
  <r>
    <x v="54"/>
    <s v="Fatty acid degradation"/>
    <s v="ACADM"/>
    <s v="ACAT1"/>
    <n v="0.207158394"/>
    <n v="0.207158394"/>
    <n v="3.6716089E-2"/>
    <s v="hsa00071"/>
    <n v="0.373337431"/>
  </r>
  <r>
    <x v="42"/>
    <s v="β-Alanine metabolism KEGG"/>
    <s v="ECHS1"/>
    <s v="HIBCH"/>
    <n v="0.169854686"/>
    <n v="0.169854686"/>
    <n v="3.6853803999999997E-2"/>
    <s v="hsa00410"/>
    <n v="0.37357396500000001"/>
  </r>
  <r>
    <x v="26"/>
    <s v="AGE‑RAGE signaling pathway in diabetic complications genome.jp"/>
    <s v="JUN"/>
    <s v="SERPINE1"/>
    <n v="0.60948720700000003"/>
    <n v="0.60948720700000003"/>
    <n v="3.6997958999999997E-2"/>
    <s v="hsa04933"/>
    <n v="0.37387411700000001"/>
  </r>
  <r>
    <x v="81"/>
    <s v="Thyroid hormone signaling pathway KEGG"/>
    <s v="THRA"/>
    <s v="NOTCH1"/>
    <n v="0.48984329799999998"/>
    <n v="0.48984329799999998"/>
    <n v="3.7138595000000003E-2"/>
    <s v="hsa04919"/>
    <n v="0.37413696000000002"/>
  </r>
  <r>
    <x v="13"/>
    <s v="One carbon pool by folate"/>
    <s v="MTR"/>
    <s v="MTHFR"/>
    <n v="0.24676279700000001"/>
    <n v="0.24676279700000001"/>
    <n v="3.7864246999999997E-2"/>
    <s v="hsa00670"/>
    <n v="0.377828461"/>
  </r>
  <r>
    <x v="70"/>
    <s v="Sphingolipid metabolism genome.jp"/>
    <s v="CERK"/>
    <s v="GBA1"/>
    <n v="-0.698432622"/>
    <n v="0.698432622"/>
    <n v="3.8041693000000001E-2"/>
    <s v="hsa00600"/>
    <n v="0.377828461"/>
  </r>
  <r>
    <x v="13"/>
    <s v="One carbon pool by folate"/>
    <s v="DHFR"/>
    <s v="TYMS"/>
    <n v="-0.54342074900000004"/>
    <n v="0.54342074900000004"/>
    <n v="3.8062156999999999E-2"/>
    <s v="hsa00670"/>
    <n v="0.377828461"/>
  </r>
  <r>
    <x v="54"/>
    <s v="Fatty acid degradation"/>
    <s v="ACADM"/>
    <s v="CPT2"/>
    <n v="0.192696807"/>
    <n v="0.192696807"/>
    <n v="3.8189811999999997E-2"/>
    <s v="hsa00071"/>
    <n v="0.377828461"/>
  </r>
  <r>
    <x v="7"/>
    <s v="Glycine, serine and threonine metabolism"/>
    <s v="GAMT"/>
    <s v="GATM"/>
    <n v="0.29330761500000002"/>
    <n v="0.29330761500000002"/>
    <n v="3.8199569000000003E-2"/>
    <s v="hsa00260"/>
    <n v="0.377828461"/>
  </r>
  <r>
    <x v="4"/>
    <s v="Arginine and proline metabolism"/>
    <s v="GAMT"/>
    <s v="GATM"/>
    <n v="0.29330761500000002"/>
    <n v="0.29330761500000002"/>
    <n v="3.8199569000000003E-2"/>
    <s v="hsa00330"/>
    <n v="0.377828461"/>
  </r>
  <r>
    <x v="53"/>
    <s v="Epstein‑Barr virus infection"/>
    <s v="JUN"/>
    <s v="ITGAL"/>
    <n v="-0.15170816500000001"/>
    <n v="0.15170816500000001"/>
    <n v="3.8500758000000003E-2"/>
    <s v="hsa05169"/>
    <n v="0.378150245"/>
  </r>
  <r>
    <x v="3"/>
    <s v="Pyrimidine metabolism"/>
    <s v="DUT"/>
    <s v="TK1"/>
    <n v="0.75144815899999995"/>
    <n v="0.75144815899999995"/>
    <n v="3.8791944000000002E-2"/>
    <s v="hsa00240"/>
    <n v="0.378150245"/>
  </r>
  <r>
    <x v="57"/>
    <s v="Alanine, aspartate and glutamate metabolism"/>
    <s v="RIMKLA"/>
    <s v="RIMKLA"/>
    <n v="-2.3899999999999999E-16"/>
    <n v="2.3890499999999998E-16"/>
    <n v="3.8931169000000002E-2"/>
    <s v="hsa00250"/>
    <n v="0.378150245"/>
  </r>
  <r>
    <x v="89"/>
    <e v="#N/A"/>
    <s v="PGAP1"/>
    <s v="PGAP3"/>
    <n v="-0.32062211200000001"/>
    <n v="0.32062211200000001"/>
    <n v="3.8998256000000002E-2"/>
    <s v="hsa00563"/>
    <n v="0.378150245"/>
  </r>
  <r>
    <x v="30"/>
    <e v="#N/A"/>
    <s v="HAL"/>
    <s v="CNDP2"/>
    <n v="0.16342168500000001"/>
    <n v="0.16342168500000001"/>
    <n v="3.9088895999999998E-2"/>
    <s v="hsa00340"/>
    <n v="0.378150245"/>
  </r>
  <r>
    <x v="69"/>
    <s v="Phosphatidylinositol signaling system"/>
    <s v="IMPA1"/>
    <s v="IMPA1"/>
    <n v="6.0400000000000005E-17"/>
    <n v="6.0429499999999994E-17"/>
    <n v="3.9265791000000001E-2"/>
    <s v="hsa04070"/>
    <n v="0.378150245"/>
  </r>
  <r>
    <x v="70"/>
    <s v="Sphingolipid metabolism genome.jp"/>
    <s v="UGT8"/>
    <s v="UGCG"/>
    <n v="0.20135483500000001"/>
    <n v="0.20135483500000001"/>
    <n v="3.9602898999999997E-2"/>
    <s v="hsa00600"/>
    <n v="0.378150245"/>
  </r>
  <r>
    <x v="116"/>
    <e v="#N/A"/>
    <s v="TTF2"/>
    <s v="TG"/>
    <n v="0.766268536"/>
    <n v="0.766268536"/>
    <n v="3.9909187999999998E-2"/>
    <s v="hsa04918"/>
    <n v="0.378150245"/>
  </r>
  <r>
    <x v="117"/>
    <s v="Glyoxylate and dicarboxylate metabolism KEGG"/>
    <s v="CS"/>
    <s v="MDH1"/>
    <n v="-0.48567406000000002"/>
    <n v="0.48567406000000002"/>
    <n v="3.9912589999999998E-2"/>
    <s v="hsa00630"/>
    <n v="0.378150245"/>
  </r>
  <r>
    <x v="27"/>
    <s v="IL‑17 signaling pathway"/>
    <s v="CEBPB"/>
    <s v="S100A9"/>
    <n v="-0.21665822600000001"/>
    <n v="0.21665822600000001"/>
    <n v="4.0132705999999997E-2"/>
    <s v="hsa04657"/>
    <n v="0.378150245"/>
  </r>
  <r>
    <x v="44"/>
    <s v="Th1 and Th2 cell differentiation"/>
    <s v="JUN"/>
    <s v="IFNG"/>
    <n v="0.73238935599999999"/>
    <n v="0.73238935599999999"/>
    <n v="4.0164129999999999E-2"/>
    <s v="hsa04658"/>
    <n v="0.378150245"/>
  </r>
  <r>
    <x v="58"/>
    <s v="Inflammatory bowel disease – Homo sapiens (human) KEGG"/>
    <s v="JUN"/>
    <s v="IFNG"/>
    <n v="0.73238935599999999"/>
    <n v="0.73238935599999999"/>
    <n v="4.0164129999999999E-2"/>
    <s v="hsa05321"/>
    <n v="0.378150245"/>
  </r>
  <r>
    <x v="104"/>
    <e v="#N/A"/>
    <s v="CEL"/>
    <s v="DHCR24"/>
    <n v="0.184867793"/>
    <n v="0.184867793"/>
    <n v="4.0270006999999997E-2"/>
    <s v="hsa00100"/>
    <n v="0.378150245"/>
  </r>
  <r>
    <x v="14"/>
    <s v="Purine metabolism"/>
    <s v="IMPDH1"/>
    <s v="HPRT1"/>
    <n v="-0.136679787"/>
    <n v="0.136679787"/>
    <n v="4.0292358E-2"/>
    <s v="hsa00230"/>
    <n v="0.378150245"/>
  </r>
  <r>
    <x v="118"/>
    <s v="Butanoate metabolism"/>
    <s v="HMGCL"/>
    <s v="ACAT1"/>
    <n v="0.52294566300000001"/>
    <n v="0.52294566300000001"/>
    <n v="4.0333696000000002E-2"/>
    <s v="hsa00650"/>
    <n v="0.378150245"/>
  </r>
  <r>
    <x v="79"/>
    <s v="Lipid and atherosclerosis – Homo sapiens (human) KEGG"/>
    <s v="DDIT3"/>
    <s v="ERO1A"/>
    <n v="-0.25925073199999998"/>
    <n v="0.25925073199999998"/>
    <n v="4.0387604000000001E-2"/>
    <s v="hsa05417"/>
    <n v="0.378150245"/>
  </r>
  <r>
    <x v="14"/>
    <s v="Purine metabolism"/>
    <s v="ATIC"/>
    <s v="ATIC"/>
    <n v="2.82E-16"/>
    <n v="2.82003E-16"/>
    <n v="4.0442224999999998E-2"/>
    <s v="hsa00230"/>
    <n v="0.378150245"/>
  </r>
  <r>
    <x v="29"/>
    <s v="Growth hormone synthesis, secretion and action KEGG"/>
    <s v="STAT1"/>
    <s v="IGF1"/>
    <n v="-0.82984106599999996"/>
    <n v="0.82984106599999996"/>
    <n v="4.0742426999999998E-2"/>
    <s v="hsa04935"/>
    <n v="0.378150245"/>
  </r>
  <r>
    <x v="70"/>
    <s v="Sphingolipid metabolism genome.jp"/>
    <s v="GALC"/>
    <s v="GBA1"/>
    <n v="-0.57516108499999996"/>
    <n v="0.57516108499999996"/>
    <n v="4.0992280999999998E-2"/>
    <s v="hsa00600"/>
    <n v="0.378150245"/>
  </r>
  <r>
    <x v="10"/>
    <s v="Arachidonic acid metabolism genome.jp"/>
    <s v="ALOX12"/>
    <s v="CYP2J2"/>
    <n v="-0.33261179600000002"/>
    <n v="0.33261179600000002"/>
    <n v="4.1004922999999999E-2"/>
    <s v="hsa00590"/>
    <n v="0.378150245"/>
  </r>
  <r>
    <x v="91"/>
    <s v="Fatty acid elongation"/>
    <s v="MECR"/>
    <s v="PPT1"/>
    <n v="0.29830736400000002"/>
    <n v="0.29830736400000002"/>
    <n v="4.1087448999999998E-2"/>
    <s v="hsa00062"/>
    <n v="0.378150245"/>
  </r>
  <r>
    <x v="57"/>
    <s v="Alanine, aspartate and glutamate metabolism"/>
    <s v="ALDH4A1"/>
    <s v="GLUL"/>
    <n v="-0.23759312799999999"/>
    <n v="0.23759312799999999"/>
    <n v="4.1188996999999998E-2"/>
    <s v="hsa00250"/>
    <n v="0.378150245"/>
  </r>
  <r>
    <x v="32"/>
    <s v="Propanoate metabolism"/>
    <s v="PCCA"/>
    <s v="ACSS3"/>
    <n v="-0.51696206300000003"/>
    <n v="0.51696206300000003"/>
    <n v="4.1225494000000001E-2"/>
    <s v="hsa00640"/>
    <n v="0.378150245"/>
  </r>
  <r>
    <x v="111"/>
    <s v="p53 signaling pathway"/>
    <s v="TP53"/>
    <s v="GTSE1"/>
    <n v="0.69762538799999996"/>
    <n v="0.69762538799999996"/>
    <n v="4.1242414999999998E-2"/>
    <s v="hsa04115"/>
    <n v="0.378150245"/>
  </r>
  <r>
    <x v="49"/>
    <e v="#N/A"/>
    <s v="E2F1"/>
    <s v="CDC25A"/>
    <n v="-0.43562298500000002"/>
    <n v="0.43562298500000002"/>
    <n v="4.1264106000000002E-2"/>
    <s v="hsa05207"/>
    <n v="0.378150245"/>
  </r>
  <r>
    <x v="3"/>
    <s v="Pyrimidine metabolism"/>
    <s v="DCTD"/>
    <s v="DUT"/>
    <n v="-0.317371664"/>
    <n v="0.317371664"/>
    <n v="4.1323508000000002E-2"/>
    <s v="hsa00240"/>
    <n v="0.378150245"/>
  </r>
  <r>
    <x v="25"/>
    <s v="Breast cancer – Homo sapiens (human) KEGG"/>
    <s v="HEY1"/>
    <s v="CCND1"/>
    <n v="0.18649983000000001"/>
    <n v="0.18649983000000001"/>
    <n v="4.1369621000000002E-2"/>
    <s v="hsa05224"/>
    <n v="0.378150245"/>
  </r>
  <r>
    <x v="119"/>
    <s v="Tyrosine metabolism"/>
    <s v="FAH"/>
    <s v="FAHD1"/>
    <n v="-0.30127928300000001"/>
    <n v="0.30127928300000001"/>
    <n v="4.1922202999999998E-2"/>
    <s v="hsa00350"/>
    <n v="0.378150245"/>
  </r>
  <r>
    <x v="76"/>
    <s v="Glycerophospholipid metabolism KEGG"/>
    <s v="PTDSS2"/>
    <s v="CEPT1"/>
    <n v="-0.17604135000000001"/>
    <n v="0.17604135000000001"/>
    <n v="4.1970238999999999E-2"/>
    <s v="hsa00564"/>
    <n v="0.378150245"/>
  </r>
  <r>
    <x v="13"/>
    <s v="One carbon pool by folate"/>
    <s v="SARDH"/>
    <s v="MTHFR"/>
    <n v="7.4204666000000002E-2"/>
    <n v="7.4204666000000002E-2"/>
    <n v="4.2011969000000003E-2"/>
    <s v="hsa00670"/>
    <n v="0.378150245"/>
  </r>
  <r>
    <x v="14"/>
    <s v="Purine metabolism"/>
    <s v="GMPS"/>
    <s v="GMPR"/>
    <n v="1.3655796979999999"/>
    <n v="1.3655796979999999"/>
    <n v="4.2092486999999998E-2"/>
    <s v="hsa00230"/>
    <n v="0.378150245"/>
  </r>
  <r>
    <x v="2"/>
    <s v="Glutathione metabolism KEGG"/>
    <s v="GSS"/>
    <s v="ANPEP"/>
    <n v="0.52429124199999999"/>
    <n v="0.52429124199999999"/>
    <n v="4.2173594000000002E-2"/>
    <s v="hsa00480"/>
    <n v="0.378150245"/>
  </r>
  <r>
    <x v="98"/>
    <s v="Pentose phosphate pathway"/>
    <s v="PGLS"/>
    <s v="IDNK"/>
    <n v="-0.40319273100000003"/>
    <n v="0.40319273100000003"/>
    <n v="4.2286837000000001E-2"/>
    <s v="hsa00030"/>
    <n v="0.378150245"/>
  </r>
  <r>
    <x v="43"/>
    <s v="Glycolysis / Gluconeogenesis"/>
    <s v="ALDH2"/>
    <s v="AKR1A1"/>
    <n v="-0.153205379"/>
    <n v="0.153205379"/>
    <n v="4.2402876999999999E-2"/>
    <s v="hsa00010"/>
    <n v="0.378150245"/>
  </r>
  <r>
    <x v="66"/>
    <s v="Glycerolipid metabolism genome.jp"/>
    <s v="ALDH2"/>
    <s v="AKR1A1"/>
    <n v="-0.153205379"/>
    <n v="0.153205379"/>
    <n v="4.2402876999999999E-2"/>
    <s v="hsa00561"/>
    <n v="0.378150245"/>
  </r>
  <r>
    <x v="5"/>
    <s v="Pyruvate metabolism KEGG"/>
    <s v="ALDH2"/>
    <s v="AKR1A1"/>
    <n v="-0.153205379"/>
    <n v="0.153205379"/>
    <n v="4.2402876999999999E-2"/>
    <s v="hsa00620"/>
    <n v="0.378150245"/>
  </r>
  <r>
    <x v="57"/>
    <s v="Alanine, aspartate and glutamate metabolism"/>
    <s v="PPAT"/>
    <s v="GFPT1"/>
    <n v="0.112753784"/>
    <n v="0.112753784"/>
    <n v="4.2660036999999998E-2"/>
    <s v="hsa00250"/>
    <n v="0.37881395600000001"/>
  </r>
  <r>
    <x v="2"/>
    <s v="Glutathione metabolism KEGG"/>
    <s v="LANCL1"/>
    <s v="GPX4"/>
    <n v="-0.42017234399999998"/>
    <n v="0.42017234399999998"/>
    <n v="4.2796911999999999E-2"/>
    <s v="hsa00480"/>
    <n v="0.37881395600000001"/>
  </r>
  <r>
    <x v="10"/>
    <s v="Arachidonic acid metabolism genome.jp"/>
    <s v="PTGS1"/>
    <s v="HPGDS"/>
    <n v="-0.519782521"/>
    <n v="0.519782521"/>
    <n v="4.2881352999999997E-2"/>
    <s v="hsa00590"/>
    <n v="0.37881395600000001"/>
  </r>
  <r>
    <x v="59"/>
    <s v="Galactose metabolism"/>
    <s v="B4GALT1"/>
    <s v="GALE"/>
    <n v="-0.254314121"/>
    <n v="0.254314121"/>
    <n v="4.2993205999999999E-2"/>
    <s v="hsa00052"/>
    <n v="0.37881395600000001"/>
  </r>
  <r>
    <x v="0"/>
    <s v="Cysteine and methionine metabolism"/>
    <s v="KYAT3"/>
    <s v="CTH"/>
    <n v="1.23523439"/>
    <n v="1.23523439"/>
    <n v="4.3261853000000003E-2"/>
    <s v="hsa00270"/>
    <n v="0.37881395600000001"/>
  </r>
  <r>
    <x v="55"/>
    <s v="Selenocompound metabolism genome.jp"/>
    <s v="KYAT3"/>
    <s v="CTH"/>
    <n v="1.23523439"/>
    <n v="1.23523439"/>
    <n v="4.3261853000000003E-2"/>
    <s v="hsa00450"/>
    <n v="0.37881395600000001"/>
  </r>
  <r>
    <x v="9"/>
    <s v="Amino sugar and nucleotide sugar metabolism KEGG"/>
    <s v="GFPT1"/>
    <s v="MPI"/>
    <n v="-0.44215036800000002"/>
    <n v="0.44215036800000002"/>
    <n v="4.3382574E-2"/>
    <s v="hsa00520"/>
    <n v="0.37881395600000001"/>
  </r>
  <r>
    <x v="3"/>
    <s v="Pyrimidine metabolism"/>
    <s v="DTYMK"/>
    <s v="TYMS"/>
    <n v="0.68394026600000002"/>
    <n v="0.68394026600000002"/>
    <n v="4.3443287999999997E-2"/>
    <s v="hsa00240"/>
    <n v="0.37881395600000001"/>
  </r>
  <r>
    <x v="54"/>
    <s v="Fatty acid degradation"/>
    <s v="ECHS1"/>
    <s v="ACADSB"/>
    <n v="-0.207839941"/>
    <n v="0.207839941"/>
    <n v="4.3637882000000003E-2"/>
    <s v="hsa00071"/>
    <n v="0.37881395600000001"/>
  </r>
  <r>
    <x v="21"/>
    <s v="Valine, leucine and isoleucine degradation"/>
    <s v="ECHS1"/>
    <s v="ACADSB"/>
    <n v="-0.207839941"/>
    <n v="0.207839941"/>
    <n v="4.3637882000000003E-2"/>
    <s v="hsa00280"/>
    <n v="0.37881395600000001"/>
  </r>
  <r>
    <x v="74"/>
    <s v="Toll‑like receptor signaling pathway"/>
    <s v="IRF3"/>
    <s v="CD80"/>
    <n v="-1.023983841"/>
    <n v="1.023983841"/>
    <n v="4.4034375000000001E-2"/>
    <s v="hsa04620"/>
    <n v="0.38124190800000002"/>
  </r>
  <r>
    <x v="12"/>
    <s v="Biosynthesis of various nucleotide sugars KEGG"/>
    <s v="GMDS"/>
    <s v="GFUS"/>
    <n v="-1.1869192070000001"/>
    <n v="1.1869192070000001"/>
    <n v="4.4591129E-2"/>
    <s v="hsa00541"/>
    <n v="0.38295622699999998"/>
  </r>
  <r>
    <x v="106"/>
    <s v="Metabolism of xenobiotics by cytochrome P450"/>
    <s v="CYP1B1"/>
    <s v="EPHX1"/>
    <n v="0.295270492"/>
    <n v="0.295270492"/>
    <n v="4.4603911000000003E-2"/>
    <s v="hsa00980"/>
    <n v="0.38295622699999998"/>
  </r>
  <r>
    <x v="120"/>
    <s v="Colorectal cancer"/>
    <s v="CYP1B1"/>
    <s v="EPHX1"/>
    <n v="0.295270492"/>
    <n v="0.295270492"/>
    <n v="4.4603911000000003E-2"/>
    <s v="hsa05208"/>
    <n v="0.38295622699999998"/>
  </r>
  <r>
    <x v="104"/>
    <e v="#N/A"/>
    <s v="CYP27B1"/>
    <s v="CYP2R1"/>
    <n v="7.6714520999999994E-2"/>
    <n v="7.6714520999999994E-2"/>
    <n v="4.4703346999999997E-2"/>
    <s v="hsa00100"/>
    <n v="0.38295622699999998"/>
  </r>
  <r>
    <x v="121"/>
    <e v="#N/A"/>
    <s v="JUN"/>
    <s v="CD1A"/>
    <n v="0.55781628000000005"/>
    <n v="0.55781628000000005"/>
    <n v="4.4858611999999999E-2"/>
    <s v="hsa04530"/>
    <n v="0.38295622699999998"/>
  </r>
  <r>
    <x v="3"/>
    <s v="Pyrimidine metabolism"/>
    <s v="DCTD"/>
    <s v="TK1"/>
    <n v="0.874905563"/>
    <n v="0.874905563"/>
    <n v="4.5019733999999999E-2"/>
    <s v="hsa00240"/>
    <n v="0.38295622699999998"/>
  </r>
  <r>
    <x v="112"/>
    <s v="Human T‑cell leukemia virus 1 infection"/>
    <s v="NFKB1"/>
    <s v="IL15"/>
    <n v="0.53829828199999996"/>
    <n v="0.53829828199999996"/>
    <n v="4.5100711000000002E-2"/>
    <s v="hsa05166"/>
    <n v="0.38295622699999998"/>
  </r>
  <r>
    <x v="21"/>
    <s v="Valine, leucine and isoleucine degradation"/>
    <s v="HIBCH"/>
    <s v="ECHS1"/>
    <n v="0.52650952600000001"/>
    <n v="0.52650952600000001"/>
    <n v="4.5525264000000003E-2"/>
    <s v="hsa00280"/>
    <n v="0.38295622699999998"/>
  </r>
  <r>
    <x v="32"/>
    <s v="Propanoate metabolism"/>
    <s v="HIBCH"/>
    <s v="ECHS1"/>
    <n v="0.52650952600000001"/>
    <n v="0.52650952600000001"/>
    <n v="4.5525264000000003E-2"/>
    <s v="hsa00640"/>
    <n v="0.38295622699999998"/>
  </r>
  <r>
    <x v="33"/>
    <s v="Glycosphingolipid biosynthesis – lacto &amp; neolacto series genome.jp"/>
    <s v="B4GALT4"/>
    <s v="GCNT2"/>
    <n v="-0.45162329299999998"/>
    <n v="0.45162329299999998"/>
    <n v="4.5771404000000002E-2"/>
    <s v="hsa00601"/>
    <n v="0.38295622699999998"/>
  </r>
  <r>
    <x v="33"/>
    <s v="Glycosphingolipid biosynthesis – lacto &amp; neolacto series genome.jp"/>
    <s v="B4GALT2"/>
    <s v="B3GALT2"/>
    <n v="0.45752219999999999"/>
    <n v="0.45752219999999999"/>
    <n v="4.5807689999999998E-2"/>
    <s v="hsa00601"/>
    <n v="0.38295622699999998"/>
  </r>
  <r>
    <x v="6"/>
    <s v="N‑Glycan biosynthesis KEGG"/>
    <s v="GANAB"/>
    <s v="MAN1B1"/>
    <n v="-0.31623473000000002"/>
    <n v="0.31623473000000002"/>
    <n v="4.5957805999999997E-2"/>
    <s v="hsa00510"/>
    <n v="0.38295622699999998"/>
  </r>
  <r>
    <x v="67"/>
    <s v="African trypanosomiasis"/>
    <s v="TNF"/>
    <s v="ICAM1"/>
    <n v="-0.320187314"/>
    <n v="0.320187314"/>
    <n v="4.5993020000000003E-2"/>
    <s v="hsa05143"/>
    <n v="0.38295622699999998"/>
  </r>
  <r>
    <x v="105"/>
    <s v="Apoptosis"/>
    <s v="MAPK1"/>
    <s v="BCL2"/>
    <n v="0.28793245899999997"/>
    <n v="0.28793245899999997"/>
    <n v="4.6070110999999997E-2"/>
    <s v="hsa04210"/>
    <n v="0.38295622699999998"/>
  </r>
  <r>
    <x v="26"/>
    <s v="AGE‑RAGE signaling pathway in diabetic complications genome.jp"/>
    <s v="JUN"/>
    <s v="CCL2"/>
    <n v="0.90339529900000004"/>
    <n v="0.90339529900000004"/>
    <n v="4.619011E-2"/>
    <s v="hsa04933"/>
    <n v="0.38295622699999998"/>
  </r>
  <r>
    <x v="122"/>
    <e v="#N/A"/>
    <s v="HLCS"/>
    <s v="HLCS"/>
    <n v="-5.3899999999999998E-17"/>
    <n v="5.3916299999999997E-17"/>
    <n v="4.6198452000000001E-2"/>
    <s v="hsa00780"/>
    <n v="0.38295622699999998"/>
  </r>
  <r>
    <x v="13"/>
    <s v="One carbon pool by folate"/>
    <s v="GART"/>
    <s v="MTR"/>
    <n v="-0.25207735999999997"/>
    <n v="0.25207735999999997"/>
    <n v="4.6226946999999997E-2"/>
    <s v="hsa00670"/>
    <n v="0.38295622699999998"/>
  </r>
  <r>
    <x v="59"/>
    <s v="Galactose metabolism"/>
    <s v="GALM"/>
    <s v="AKR1B1"/>
    <n v="-0.26211143799999997"/>
    <n v="0.26211143799999997"/>
    <n v="4.6759653999999998E-2"/>
    <s v="hsa00052"/>
    <n v="0.38608615600000001"/>
  </r>
  <r>
    <x v="123"/>
    <s v="PD‑L1 expression and PD‑1 checkpoint pathway in cancer – Homo sapiens (human) KEGG"/>
    <s v="NFKB1"/>
    <s v="CD274"/>
    <n v="0.79060438600000005"/>
    <n v="0.79060438600000005"/>
    <n v="4.6841334999999998E-2"/>
    <s v="hsa05235"/>
    <n v="0.38608615600000001"/>
  </r>
  <r>
    <x v="27"/>
    <s v="IL‑17 signaling pathway"/>
    <s v="FOS"/>
    <s v="PTGS2"/>
    <n v="-0.304290426"/>
    <n v="0.304290426"/>
    <n v="4.6965750000000001E-2"/>
    <s v="hsa04657"/>
    <n v="0.386136541"/>
  </r>
  <r>
    <x v="65"/>
    <s v="Lysine degradation"/>
    <s v="CAMKMT"/>
    <s v="PLOD1"/>
    <n v="0.39098117399999999"/>
    <n v="0.39098117399999999"/>
    <n v="4.7161486000000002E-2"/>
    <s v="hsa00310"/>
    <n v="0.38671668100000001"/>
  </r>
  <r>
    <x v="53"/>
    <s v="Epstein‑Barr virus infection"/>
    <s v="JUN"/>
    <s v="BCL2"/>
    <n v="0.38896286000000002"/>
    <n v="0.38896286000000002"/>
    <n v="4.7273270999999999E-2"/>
    <s v="hsa05169"/>
    <n v="0.38671668100000001"/>
  </r>
  <r>
    <x v="33"/>
    <s v="Glycosphingolipid biosynthesis – lacto &amp; neolacto series genome.jp"/>
    <s v="GCNT2"/>
    <s v="B4GALT1"/>
    <n v="-0.17399145599999999"/>
    <n v="0.17399145599999999"/>
    <n v="4.7470178000000002E-2"/>
    <s v="hsa00601"/>
    <n v="0.38735665000000002"/>
  </r>
  <r>
    <x v="29"/>
    <s v="Growth hormone synthesis, secretion and action KEGG"/>
    <s v="MAPK1"/>
    <s v="IGFBP3"/>
    <n v="0.78519041499999997"/>
    <n v="0.78519041499999997"/>
    <n v="4.7610910999999999E-2"/>
    <s v="hsa04935"/>
    <n v="0.38753619700000003"/>
  </r>
  <r>
    <x v="124"/>
    <s v="Phosphonate and phosphinate metabolism KEGG"/>
    <s v="PCYT1A"/>
    <s v="CEPT1"/>
    <n v="-0.159497521"/>
    <n v="0.159497521"/>
    <n v="4.7983990999999997E-2"/>
    <s v="hsa00440"/>
    <n v="0.38906939099999999"/>
  </r>
  <r>
    <x v="12"/>
    <s v="Biosynthesis of various nucleotide sugars KEGG"/>
    <s v="NANS"/>
    <s v="GNE"/>
    <n v="0.259535132"/>
    <n v="0.259535132"/>
    <n v="4.8322662000000002E-2"/>
    <s v="hsa00541"/>
    <n v="0.38906939099999999"/>
  </r>
  <r>
    <x v="53"/>
    <s v="Epstein‑Barr virus infection"/>
    <s v="JUN"/>
    <s v="CD44"/>
    <n v="-0.222646703"/>
    <n v="0.222646703"/>
    <n v="4.8384125E-2"/>
    <s v="hsa05169"/>
    <n v="0.38906939099999999"/>
  </r>
  <r>
    <x v="7"/>
    <s v="Glycine, serine and threonine metabolism"/>
    <s v="SHMT1"/>
    <s v="GCAT"/>
    <n v="-0.56088848499999999"/>
    <n v="0.56088848499999999"/>
    <n v="4.8416481999999997E-2"/>
    <s v="hsa00260"/>
    <n v="0.38906939099999999"/>
  </r>
  <r>
    <x v="19"/>
    <s v="Th17 cell differentiation"/>
    <s v="STAT3"/>
    <s v="IL21"/>
    <n v="-0.77390434799999996"/>
    <n v="0.77390434799999996"/>
    <n v="4.8514474000000002E-2"/>
    <s v="hsa04659"/>
    <n v="0.38906939099999999"/>
  </r>
  <r>
    <x v="58"/>
    <s v="Inflammatory bowel disease – Homo sapiens (human) KEGG"/>
    <s v="STAT3"/>
    <s v="IL21"/>
    <n v="-0.77390434799999996"/>
    <n v="0.77390434799999996"/>
    <n v="4.8514474000000002E-2"/>
    <s v="hsa05321"/>
    <n v="0.38906939099999999"/>
  </r>
  <r>
    <x v="57"/>
    <s v="Alanine, aspartate and glutamate metabolism"/>
    <s v="CAD"/>
    <s v="ASRGL1"/>
    <n v="0.42953362099999998"/>
    <n v="0.42953362099999998"/>
    <n v="4.8918806000000002E-2"/>
    <s v="hsa00250"/>
    <n v="0.39135044800000002"/>
  </r>
  <r>
    <x v="76"/>
    <s v="Glycerophospholipid metabolism KEGG"/>
    <s v="PTDSS2"/>
    <s v="PLAAT3"/>
    <n v="0.56251291199999998"/>
    <n v="0.56251291199999998"/>
    <n v="4.9687668999999997E-2"/>
    <s v="hsa00564"/>
    <n v="0.3965294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B3157-206F-4B0A-B402-4EE526A5E993}" name="PivotTable1" cacheId="17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134" firstHeaderRow="0" firstDataRow="1" firstDataCol="1"/>
  <pivotFields count="8">
    <pivotField axis="axisRow"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bs(beta)" fld="5" subtotal="average" baseField="0" baseItem="14"/>
    <dataField name="Min of adj_p_value" fld="7" subtotal="min" baseField="0" baseItem="14"/>
    <dataField name="Min of p_value" fld="6" subtotal="min" baseField="0" baseItem="14"/>
    <dataField name="Count of predictor" fld="2" subtotal="count" baseField="0" baseItem="0"/>
  </dataFields>
  <formats count="2">
    <format dxfId="0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72C86-8AB2-4279-B937-4F96ACFE52F3}" name="PivotTable2" cacheId="17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9" firstHeaderRow="0" firstDataRow="1" firstDataCol="1"/>
  <pivotFields count="9">
    <pivotField axis="axisRow" showAll="0">
      <items count="126">
        <item x="43"/>
        <item x="60"/>
        <item x="98"/>
        <item x="115"/>
        <item x="59"/>
        <item x="73"/>
        <item x="91"/>
        <item x="54"/>
        <item x="104"/>
        <item x="1"/>
        <item x="64"/>
        <item x="61"/>
        <item x="93"/>
        <item x="14"/>
        <item x="3"/>
        <item x="57"/>
        <item x="7"/>
        <item x="0"/>
        <item x="21"/>
        <item x="65"/>
        <item x="4"/>
        <item x="30"/>
        <item x="119"/>
        <item x="8"/>
        <item x="42"/>
        <item x="124"/>
        <item x="55"/>
        <item x="2"/>
        <item x="6"/>
        <item x="34"/>
        <item x="37"/>
        <item x="38"/>
        <item x="9"/>
        <item x="17"/>
        <item x="12"/>
        <item x="66"/>
        <item x="31"/>
        <item x="89"/>
        <item x="76"/>
        <item x="95"/>
        <item x="10"/>
        <item x="109"/>
        <item x="39"/>
        <item x="70"/>
        <item x="33"/>
        <item x="107"/>
        <item x="18"/>
        <item x="5"/>
        <item x="117"/>
        <item x="32"/>
        <item x="118"/>
        <item x="13"/>
        <item x="52"/>
        <item x="11"/>
        <item x="122"/>
        <item x="83"/>
        <item x="100"/>
        <item x="80"/>
        <item x="113"/>
        <item x="46"/>
        <item x="106"/>
        <item x="15"/>
        <item x="72"/>
        <item x="69"/>
        <item x="108"/>
        <item x="111"/>
        <item x="71"/>
        <item x="96"/>
        <item x="105"/>
        <item x="77"/>
        <item x="78"/>
        <item x="24"/>
        <item x="99"/>
        <item x="121"/>
        <item x="48"/>
        <item x="74"/>
        <item x="85"/>
        <item x="86"/>
        <item x="27"/>
        <item x="44"/>
        <item x="19"/>
        <item x="62"/>
        <item x="92"/>
        <item x="110"/>
        <item x="116"/>
        <item x="81"/>
        <item x="82"/>
        <item x="35"/>
        <item x="68"/>
        <item x="26"/>
        <item x="36"/>
        <item x="29"/>
        <item x="97"/>
        <item x="114"/>
        <item x="40"/>
        <item x="41"/>
        <item x="45"/>
        <item x="75"/>
        <item x="67"/>
        <item x="20"/>
        <item x="87"/>
        <item x="28"/>
        <item x="101"/>
        <item x="88"/>
        <item x="84"/>
        <item x="112"/>
        <item x="50"/>
        <item x="94"/>
        <item x="53"/>
        <item x="102"/>
        <item x="22"/>
        <item x="63"/>
        <item x="16"/>
        <item x="49"/>
        <item x="120"/>
        <item x="103"/>
        <item x="56"/>
        <item x="23"/>
        <item x="25"/>
        <item x="90"/>
        <item x="47"/>
        <item x="123"/>
        <item x="58"/>
        <item x="79"/>
        <item x="51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</pivotFields>
  <rowFields count="1">
    <field x="0"/>
  </rowFields>
  <rowItems count="1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bs(beta)" fld="5" subtotal="average" baseField="0" baseItem="11"/>
    <dataField name="Min of adj_p_value" fld="8" subtotal="min" baseField="0" baseItem="11"/>
    <dataField name="Min of p_value" fld="6" subtotal="min" baseField="0" baseItem="11"/>
    <dataField name="Count of predicto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9559-925F-45A5-AB94-DC5DCD1A28F3}">
  <dimension ref="A1:H26"/>
  <sheetViews>
    <sheetView workbookViewId="0">
      <selection activeCell="G12" sqref="G12"/>
    </sheetView>
  </sheetViews>
  <sheetFormatPr defaultRowHeight="14.45"/>
  <cols>
    <col min="1" max="1" width="10.28515625" bestFit="1" customWidth="1"/>
    <col min="2" max="2" width="53.5703125" bestFit="1" customWidth="1"/>
    <col min="3" max="3" width="17.5703125" bestFit="1" customWidth="1"/>
    <col min="4" max="5" width="16.42578125" bestFit="1" customWidth="1"/>
    <col min="6" max="6" width="19.85546875" bestFit="1" customWidth="1"/>
    <col min="7" max="7" width="15.85546875" bestFit="1" customWidth="1"/>
    <col min="8" max="8" width="12.28515625" bestFit="1" customWidth="1"/>
  </cols>
  <sheetData>
    <row r="1" spans="1:8">
      <c r="A1" s="9" t="s">
        <v>0</v>
      </c>
    </row>
    <row r="2" spans="1:8" ht="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8">
      <c r="A3" t="s">
        <v>7</v>
      </c>
      <c r="B3" t="str">
        <f>VLOOKUP(A3,PW!A:C,2,0)</f>
        <v>Human cytomegalovirus infection</v>
      </c>
      <c r="C3" s="25">
        <v>1.1132377794999999</v>
      </c>
      <c r="D3" s="25">
        <v>0.146219191</v>
      </c>
      <c r="E3">
        <v>2</v>
      </c>
      <c r="F3" t="s">
        <v>8</v>
      </c>
      <c r="G3" t="s">
        <v>9</v>
      </c>
    </row>
    <row r="4" spans="1:8">
      <c r="A4" t="s">
        <v>10</v>
      </c>
      <c r="B4" t="str">
        <f>VLOOKUP(A4,PW!A:C,2,0)</f>
        <v>Focal adhesion</v>
      </c>
      <c r="C4" s="25">
        <v>0.93539177250000005</v>
      </c>
      <c r="D4" s="25">
        <v>0.146219191</v>
      </c>
      <c r="E4">
        <v>2</v>
      </c>
      <c r="F4" t="s">
        <v>8</v>
      </c>
      <c r="G4" t="s">
        <v>11</v>
      </c>
    </row>
    <row r="5" spans="1:8">
      <c r="A5" t="s">
        <v>12</v>
      </c>
      <c r="B5" t="str">
        <f>VLOOKUP(A5,PW!A:C,2,0)</f>
        <v>Apelin signaling pathway</v>
      </c>
      <c r="C5" s="25">
        <v>0.86978678899999995</v>
      </c>
      <c r="D5" s="25">
        <v>0.13665022499999999</v>
      </c>
      <c r="E5">
        <v>2</v>
      </c>
      <c r="F5" t="s">
        <v>13</v>
      </c>
      <c r="G5" t="s">
        <v>14</v>
      </c>
    </row>
    <row r="6" spans="1:8">
      <c r="A6" t="s">
        <v>15</v>
      </c>
      <c r="B6" t="str">
        <f>VLOOKUP(A6,PW!A:C,2,0)</f>
        <v>Cushing syndrome KEGG</v>
      </c>
      <c r="C6" s="25">
        <v>0.84092322249999996</v>
      </c>
      <c r="D6" s="25">
        <v>1.7647493E-2</v>
      </c>
      <c r="E6">
        <v>2</v>
      </c>
      <c r="F6" t="s">
        <v>16</v>
      </c>
      <c r="G6" t="s">
        <v>17</v>
      </c>
    </row>
    <row r="7" spans="1:8">
      <c r="A7" t="s">
        <v>18</v>
      </c>
      <c r="B7" t="str">
        <f>VLOOKUP(A7,PW!A:C,2,0)</f>
        <v>Th17 cell differentiation</v>
      </c>
      <c r="C7" s="25">
        <v>0.79774414930000015</v>
      </c>
      <c r="D7" s="25">
        <v>4.2726105E-2</v>
      </c>
      <c r="E7">
        <v>10</v>
      </c>
    </row>
    <row r="8" spans="1:8">
      <c r="A8" t="s">
        <v>19</v>
      </c>
      <c r="B8" t="str">
        <f>VLOOKUP(A8,PW!A:C,2,0)</f>
        <v>Small cell lung cancer – Homo sapiens (human) KEGG</v>
      </c>
      <c r="C8" s="25">
        <v>0.78634624799999997</v>
      </c>
      <c r="D8" s="25">
        <v>0.25598808299999998</v>
      </c>
      <c r="E8">
        <v>1</v>
      </c>
      <c r="F8" t="s">
        <v>20</v>
      </c>
    </row>
    <row r="9" spans="1:8">
      <c r="A9" t="s">
        <v>21</v>
      </c>
      <c r="B9" t="str">
        <f>VLOOKUP(A9,PW!A:C,2,0)</f>
        <v>PD‑L1 expression and PD‑1 checkpoint pathway in cancer – Homo sapiens (human) KEGG</v>
      </c>
      <c r="C9" s="25">
        <v>0.68550753499999995</v>
      </c>
      <c r="D9" s="25">
        <v>7.1189126000000005E-2</v>
      </c>
      <c r="E9">
        <v>2</v>
      </c>
      <c r="F9" t="s">
        <v>22</v>
      </c>
      <c r="G9" t="s">
        <v>23</v>
      </c>
    </row>
    <row r="10" spans="1:8">
      <c r="A10" t="s">
        <v>24</v>
      </c>
      <c r="B10" t="str">
        <f>VLOOKUP(A10,PW!A:C,2,0)</f>
        <v>Mitophagy – animal</v>
      </c>
      <c r="C10" s="25">
        <v>0.67425960250000005</v>
      </c>
      <c r="D10" s="25">
        <v>0.25072385400000002</v>
      </c>
      <c r="E10">
        <v>2</v>
      </c>
      <c r="F10" t="s">
        <v>25</v>
      </c>
      <c r="G10" t="s">
        <v>26</v>
      </c>
    </row>
    <row r="11" spans="1:8">
      <c r="A11" t="s">
        <v>27</v>
      </c>
      <c r="B11" t="str">
        <f>VLOOKUP(A11,PW!A:C,2,0)</f>
        <v>Yersinia infection KEGG</v>
      </c>
      <c r="C11" s="25">
        <v>0.67369474566666654</v>
      </c>
      <c r="D11" s="25">
        <v>0.165613279</v>
      </c>
      <c r="E11">
        <v>3</v>
      </c>
      <c r="F11" t="s">
        <v>28</v>
      </c>
      <c r="G11" t="s">
        <v>29</v>
      </c>
      <c r="H11" t="s">
        <v>30</v>
      </c>
    </row>
    <row r="12" spans="1:8">
      <c r="A12" t="s">
        <v>31</v>
      </c>
      <c r="B12" t="str">
        <f>VLOOKUP(A12,PW!A:C,2,0)</f>
        <v>Growth hormone synthesis, secretion and action KEGG</v>
      </c>
      <c r="C12" s="25">
        <v>0.65571487799999995</v>
      </c>
      <c r="D12" s="25">
        <v>0.27761394</v>
      </c>
      <c r="E12">
        <v>1</v>
      </c>
      <c r="F12" t="s">
        <v>32</v>
      </c>
    </row>
    <row r="13" spans="1:8">
      <c r="C13" s="25"/>
      <c r="D13" s="25"/>
    </row>
    <row r="14" spans="1:8">
      <c r="C14" s="25"/>
      <c r="D14" s="25"/>
    </row>
    <row r="15" spans="1:8">
      <c r="A15" s="9" t="s">
        <v>33</v>
      </c>
    </row>
    <row r="16" spans="1:8">
      <c r="A16" s="9" t="s">
        <v>1</v>
      </c>
      <c r="B16" s="9" t="s">
        <v>2</v>
      </c>
      <c r="C16" s="9" t="s">
        <v>3</v>
      </c>
      <c r="D16" s="9" t="s">
        <v>4</v>
      </c>
      <c r="E16" s="9" t="s">
        <v>5</v>
      </c>
    </row>
    <row r="17" spans="1:5">
      <c r="A17" t="s">
        <v>12</v>
      </c>
      <c r="B17" t="str">
        <f>VLOOKUP(A17,PW!A:C,2,0)</f>
        <v>Apelin signaling pathway</v>
      </c>
      <c r="C17" s="25">
        <v>1.7837626719999999</v>
      </c>
      <c r="D17" s="25">
        <v>0.29511029100000002</v>
      </c>
      <c r="E17" s="28">
        <v>1</v>
      </c>
    </row>
    <row r="18" spans="1:5">
      <c r="A18" t="s">
        <v>34</v>
      </c>
      <c r="B18" t="str">
        <f>VLOOKUP(A18,PW!A:C,2,0)</f>
        <v>RIG‑I‑like receptor signaling pathway</v>
      </c>
      <c r="C18" s="25">
        <v>1.460811697</v>
      </c>
      <c r="D18" s="25">
        <v>0.27680254500000001</v>
      </c>
      <c r="E18" s="28">
        <v>1</v>
      </c>
    </row>
    <row r="19" spans="1:5">
      <c r="A19" t="s">
        <v>35</v>
      </c>
      <c r="B19" t="str">
        <f>VLOOKUP(A19,PW!A:C,2,0)</f>
        <v>Cytosolic DNA‑sensing pathway</v>
      </c>
      <c r="C19" s="25">
        <v>1.460811697</v>
      </c>
      <c r="D19" s="25">
        <v>0.27680254500000001</v>
      </c>
      <c r="E19" s="28">
        <v>1</v>
      </c>
    </row>
    <row r="20" spans="1:5">
      <c r="A20" t="s">
        <v>31</v>
      </c>
      <c r="B20" t="str">
        <f>VLOOKUP(A20,PW!A:C,2,0)</f>
        <v>Growth hormone synthesis, secretion and action KEGG</v>
      </c>
      <c r="C20" s="25">
        <v>1.4040202788333334</v>
      </c>
      <c r="D20" s="25">
        <v>6.2066629999999998E-2</v>
      </c>
      <c r="E20" s="28">
        <v>6</v>
      </c>
    </row>
    <row r="21" spans="1:5">
      <c r="A21" t="s">
        <v>36</v>
      </c>
      <c r="B21" t="str">
        <f>VLOOKUP(A21,PW!A:C,2,0)</f>
        <v>Tuberculosis</v>
      </c>
      <c r="C21" s="25">
        <v>1.3876931045000001</v>
      </c>
      <c r="D21" s="25">
        <v>4.2756036999999997E-2</v>
      </c>
      <c r="E21" s="28">
        <v>2</v>
      </c>
    </row>
    <row r="22" spans="1:5">
      <c r="A22" t="s">
        <v>37</v>
      </c>
      <c r="B22" t="str">
        <f>VLOOKUP(A22,PW!A:C,2,0)</f>
        <v>Amphetamine addiction</v>
      </c>
      <c r="C22" s="25">
        <v>1.2347232420000001</v>
      </c>
      <c r="D22" s="25">
        <v>8.0360676000000006E-2</v>
      </c>
      <c r="E22" s="28">
        <v>1</v>
      </c>
    </row>
    <row r="23" spans="1:5">
      <c r="A23" t="s">
        <v>38</v>
      </c>
      <c r="B23" t="str">
        <f>VLOOKUP(A23,PW!A:C,2,0)</f>
        <v>Alcoholism</v>
      </c>
      <c r="C23" s="25">
        <v>1.2347232420000001</v>
      </c>
      <c r="D23" s="25">
        <v>8.0360676000000006E-2</v>
      </c>
      <c r="E23" s="28">
        <v>1</v>
      </c>
    </row>
    <row r="24" spans="1:5">
      <c r="A24" t="s">
        <v>39</v>
      </c>
      <c r="B24" t="str">
        <f>VLOOKUP(A24,PW!A:C,2,0)</f>
        <v>Hepatitis B</v>
      </c>
      <c r="C24" s="25">
        <v>1.2300415120000001</v>
      </c>
      <c r="D24" s="25">
        <v>6.2066629999999998E-2</v>
      </c>
      <c r="E24" s="28">
        <v>2</v>
      </c>
    </row>
    <row r="25" spans="1:5">
      <c r="A25" t="s">
        <v>40</v>
      </c>
      <c r="B25" t="str">
        <f>VLOOKUP(A25,PW!A:C,2,0)</f>
        <v>Toll‑like receptor signaling pathway</v>
      </c>
      <c r="C25" s="25">
        <v>1.1456113406666668</v>
      </c>
      <c r="D25" s="25">
        <v>0.26449464700000003</v>
      </c>
      <c r="E25" s="28">
        <v>3</v>
      </c>
    </row>
    <row r="26" spans="1:5">
      <c r="A26" t="s">
        <v>41</v>
      </c>
      <c r="B26" t="str">
        <f>VLOOKUP(A26,PW!A:C,2,0)</f>
        <v>Fluid shear stress and atherosclerosis – Homo sapiens (human) KEGG</v>
      </c>
      <c r="C26" s="25">
        <v>1.1086169769999998</v>
      </c>
      <c r="D26" s="25">
        <v>0.13226236299999999</v>
      </c>
      <c r="E26" s="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5708-E06E-4E75-931B-77849DA9B824}">
  <dimension ref="B1:L13"/>
  <sheetViews>
    <sheetView showGridLines="0" zoomScale="85" zoomScaleNormal="85" workbookViewId="0">
      <selection activeCell="B2" sqref="B2"/>
    </sheetView>
  </sheetViews>
  <sheetFormatPr defaultRowHeight="14.45"/>
  <cols>
    <col min="1" max="1" width="5.42578125" customWidth="1"/>
    <col min="2" max="2" width="20.28515625" customWidth="1"/>
    <col min="3" max="3" width="42.28515625" customWidth="1"/>
    <col min="4" max="4" width="23.42578125" customWidth="1"/>
    <col min="5" max="5" width="24.85546875" customWidth="1"/>
    <col min="6" max="6" width="26.42578125" customWidth="1"/>
    <col min="7" max="7" width="4" customWidth="1"/>
    <col min="8" max="8" width="20.28515625" customWidth="1"/>
    <col min="9" max="9" width="42.28515625" customWidth="1"/>
    <col min="10" max="10" width="23.7109375" customWidth="1"/>
    <col min="11" max="11" width="24.85546875" customWidth="1"/>
    <col min="12" max="12" width="26.42578125" customWidth="1"/>
  </cols>
  <sheetData>
    <row r="1" spans="2:12" ht="15" thickBot="1"/>
    <row r="2" spans="2:12" ht="31.9" thickBot="1"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H2" s="2" t="s">
        <v>47</v>
      </c>
      <c r="I2" s="2" t="s">
        <v>43</v>
      </c>
      <c r="J2" s="2" t="s">
        <v>44</v>
      </c>
      <c r="K2" s="2" t="s">
        <v>45</v>
      </c>
      <c r="L2" s="2" t="s">
        <v>46</v>
      </c>
    </row>
    <row r="3" spans="2:12" ht="48" thickTop="1" thickBot="1">
      <c r="B3" s="23" t="s">
        <v>48</v>
      </c>
      <c r="C3" s="23" t="s">
        <v>49</v>
      </c>
      <c r="D3" s="29">
        <v>2</v>
      </c>
      <c r="E3" s="4">
        <v>1.1132377794999999</v>
      </c>
      <c r="F3" s="4">
        <v>0.146219191</v>
      </c>
      <c r="H3" s="18" t="s">
        <v>50</v>
      </c>
      <c r="I3" s="3" t="s">
        <v>51</v>
      </c>
      <c r="J3" s="29">
        <v>1</v>
      </c>
      <c r="K3" s="4">
        <v>1.7837626719999999</v>
      </c>
      <c r="L3" s="4">
        <v>0.29511029100000002</v>
      </c>
    </row>
    <row r="4" spans="2:12" ht="47.45" thickBot="1">
      <c r="B4" s="22" t="s">
        <v>52</v>
      </c>
      <c r="C4" s="22" t="s">
        <v>53</v>
      </c>
      <c r="D4" s="30">
        <v>2</v>
      </c>
      <c r="E4" s="6">
        <v>0.93539177250000005</v>
      </c>
      <c r="F4" s="6">
        <v>0.146219191</v>
      </c>
      <c r="H4" s="22" t="s">
        <v>54</v>
      </c>
      <c r="I4" s="5" t="s">
        <v>55</v>
      </c>
      <c r="J4" s="30">
        <v>1</v>
      </c>
      <c r="K4" s="6">
        <v>1.460811697</v>
      </c>
      <c r="L4" s="6">
        <v>0.27680254500000001</v>
      </c>
    </row>
    <row r="5" spans="2:12" ht="47.45" thickBot="1">
      <c r="B5" s="16" t="s">
        <v>50</v>
      </c>
      <c r="C5" s="24" t="s">
        <v>56</v>
      </c>
      <c r="D5" s="31">
        <v>2</v>
      </c>
      <c r="E5" s="8">
        <v>0.86978678899999995</v>
      </c>
      <c r="F5" s="8">
        <v>0.13665022499999999</v>
      </c>
      <c r="H5" s="24" t="s">
        <v>57</v>
      </c>
      <c r="I5" s="7" t="s">
        <v>58</v>
      </c>
      <c r="J5" s="31">
        <v>1</v>
      </c>
      <c r="K5" s="8">
        <v>1.460811697</v>
      </c>
      <c r="L5" s="8">
        <v>0.27680254500000001</v>
      </c>
    </row>
    <row r="6" spans="2:12" ht="47.45" thickBot="1">
      <c r="B6" s="22" t="s">
        <v>59</v>
      </c>
      <c r="C6" s="22" t="s">
        <v>60</v>
      </c>
      <c r="D6" s="30">
        <v>2</v>
      </c>
      <c r="E6" s="6">
        <v>0.84092322249999996</v>
      </c>
      <c r="F6" s="6">
        <v>1.7647493E-2</v>
      </c>
      <c r="H6" s="21" t="s">
        <v>61</v>
      </c>
      <c r="I6" s="5" t="s">
        <v>62</v>
      </c>
      <c r="J6" s="30">
        <v>6</v>
      </c>
      <c r="K6" s="6">
        <v>1.4040202788333334</v>
      </c>
      <c r="L6" s="6">
        <v>6.2066629999999998E-2</v>
      </c>
    </row>
    <row r="7" spans="2:12" ht="47.45" thickBot="1">
      <c r="B7" s="24" t="s">
        <v>63</v>
      </c>
      <c r="C7" s="24" t="s">
        <v>64</v>
      </c>
      <c r="D7" s="31">
        <v>10</v>
      </c>
      <c r="E7" s="8">
        <v>0.79774414930000015</v>
      </c>
      <c r="F7" s="8">
        <v>4.2726105E-2</v>
      </c>
      <c r="H7" s="24" t="s">
        <v>65</v>
      </c>
      <c r="I7" s="7" t="s">
        <v>66</v>
      </c>
      <c r="J7" s="31">
        <v>2</v>
      </c>
      <c r="K7" s="8">
        <v>1.3876931045000001</v>
      </c>
      <c r="L7" s="8">
        <v>4.2756036999999997E-2</v>
      </c>
    </row>
    <row r="8" spans="2:12" ht="47.45" thickBot="1">
      <c r="B8" s="24" t="s">
        <v>67</v>
      </c>
      <c r="C8" s="24" t="s">
        <v>68</v>
      </c>
      <c r="D8" s="31">
        <v>1</v>
      </c>
      <c r="E8" s="8">
        <v>0.78634624799999997</v>
      </c>
      <c r="F8" s="8">
        <v>0.25598808299999998</v>
      </c>
      <c r="H8" s="24" t="s">
        <v>69</v>
      </c>
      <c r="I8" s="7" t="s">
        <v>70</v>
      </c>
      <c r="J8" s="31">
        <v>1</v>
      </c>
      <c r="K8" s="8">
        <v>1.2347232420000001</v>
      </c>
      <c r="L8" s="8">
        <v>8.0360676000000006E-2</v>
      </c>
    </row>
    <row r="9" spans="2:12" ht="63" thickBot="1">
      <c r="B9" s="24" t="s">
        <v>71</v>
      </c>
      <c r="C9" s="24" t="s">
        <v>72</v>
      </c>
      <c r="D9" s="31">
        <v>2</v>
      </c>
      <c r="E9" s="8">
        <v>0.68550753499999995</v>
      </c>
      <c r="F9" s="8">
        <v>7.1189126000000005E-2</v>
      </c>
      <c r="H9" s="24" t="s">
        <v>73</v>
      </c>
      <c r="I9" s="7" t="s">
        <v>74</v>
      </c>
      <c r="J9" s="31">
        <v>1</v>
      </c>
      <c r="K9" s="8">
        <v>1.2347232420000001</v>
      </c>
      <c r="L9" s="8">
        <v>8.0360676000000006E-2</v>
      </c>
    </row>
    <row r="10" spans="2:12" ht="47.45" thickBot="1">
      <c r="B10" s="24" t="s">
        <v>75</v>
      </c>
      <c r="C10" s="24" t="s">
        <v>76</v>
      </c>
      <c r="D10" s="31">
        <v>2</v>
      </c>
      <c r="E10" s="8">
        <v>0.67425960250000005</v>
      </c>
      <c r="F10" s="8">
        <v>0.25072385400000002</v>
      </c>
      <c r="H10" s="24" t="s">
        <v>77</v>
      </c>
      <c r="I10" s="7" t="s">
        <v>78</v>
      </c>
      <c r="J10" s="31">
        <v>2</v>
      </c>
      <c r="K10" s="8">
        <v>1.2300415120000001</v>
      </c>
      <c r="L10" s="8">
        <v>6.2066629999999998E-2</v>
      </c>
    </row>
    <row r="11" spans="2:12" ht="47.45" thickBot="1">
      <c r="B11" s="24" t="s">
        <v>79</v>
      </c>
      <c r="C11" s="24" t="s">
        <v>80</v>
      </c>
      <c r="D11" s="31">
        <v>3</v>
      </c>
      <c r="E11" s="8">
        <v>0.67369474566666654</v>
      </c>
      <c r="F11" s="8">
        <v>0.165613279</v>
      </c>
      <c r="H11" s="24" t="s">
        <v>81</v>
      </c>
      <c r="I11" s="7" t="s">
        <v>82</v>
      </c>
      <c r="J11" s="31">
        <v>3</v>
      </c>
      <c r="K11" s="8">
        <v>1.1456113406666668</v>
      </c>
      <c r="L11" s="8">
        <v>0.26449464700000003</v>
      </c>
    </row>
    <row r="12" spans="2:12" ht="47.45" thickBot="1">
      <c r="B12" s="16" t="s">
        <v>61</v>
      </c>
      <c r="C12" s="24" t="s">
        <v>83</v>
      </c>
      <c r="D12" s="31">
        <v>1</v>
      </c>
      <c r="E12" s="8">
        <v>0.65571487799999995</v>
      </c>
      <c r="F12" s="8">
        <v>0.27761394</v>
      </c>
      <c r="H12" s="24" t="s">
        <v>84</v>
      </c>
      <c r="I12" s="7" t="s">
        <v>85</v>
      </c>
      <c r="J12" s="31">
        <v>3</v>
      </c>
      <c r="K12" s="8">
        <v>1.1086169769999998</v>
      </c>
      <c r="L12" s="8">
        <v>0.13226236299999999</v>
      </c>
    </row>
    <row r="13" spans="2:12">
      <c r="B13" s="17"/>
      <c r="C13" s="17"/>
      <c r="D13" s="17"/>
      <c r="E13" s="17"/>
      <c r="F13" s="17"/>
      <c r="H13" s="17"/>
      <c r="I13" s="17"/>
      <c r="J13" s="17"/>
      <c r="K13" s="17"/>
      <c r="L13" s="17"/>
    </row>
  </sheetData>
  <conditionalFormatting sqref="E3:E1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:F12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{49086CA2-887D-42DF-B974-2B6ADDF2B787}</x14:id>
        </ext>
      </extLst>
    </cfRule>
  </conditionalFormatting>
  <conditionalFormatting sqref="K3:K12">
    <cfRule type="colorScale" priority="2">
      <colorScale>
        <cfvo type="min"/>
        <cfvo type="max"/>
        <color rgb="FFFCFCFF"/>
        <color rgb="FFF8696B"/>
      </colorScale>
    </cfRule>
  </conditionalFormatting>
  <conditionalFormatting sqref="L3:L1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{BE6ABB52-2C03-421F-AFBC-A6C3F340E62B}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086CA2-887D-42DF-B974-2B6ADDF2B7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F3:F12</xm:sqref>
        </x14:conditionalFormatting>
        <x14:conditionalFormatting xmlns:xm="http://schemas.microsoft.com/office/excel/2006/main">
          <x14:cfRule type="dataBar" id="{BE6ABB52-2C03-421F-AFBC-A6C3F340E6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A7D9-07B7-4162-9C6A-B2E58A77FAEC}">
  <dimension ref="A1:L467"/>
  <sheetViews>
    <sheetView workbookViewId="0">
      <selection activeCell="G1" sqref="G1"/>
    </sheetView>
  </sheetViews>
  <sheetFormatPr defaultRowHeight="14.45"/>
  <cols>
    <col min="1" max="1" width="12.42578125" bestFit="1" customWidth="1"/>
    <col min="2" max="2" width="18.140625" bestFit="1" customWidth="1"/>
    <col min="3" max="3" width="16.140625" bestFit="1" customWidth="1"/>
    <col min="4" max="4" width="12.5703125" bestFit="1" customWidth="1"/>
    <col min="5" max="5" width="16" bestFit="1" customWidth="1"/>
    <col min="6" max="6" width="23.7109375" customWidth="1"/>
    <col min="7" max="7" width="10.28515625" bestFit="1" customWidth="1"/>
    <col min="8" max="8" width="31.140625" customWidth="1"/>
    <col min="9" max="9" width="14.42578125" bestFit="1" customWidth="1"/>
    <col min="10" max="10" width="15.7109375" bestFit="1" customWidth="1"/>
    <col min="12" max="12" width="10.5703125" bestFit="1" customWidth="1"/>
  </cols>
  <sheetData>
    <row r="1" spans="1:12" s="9" customFormat="1">
      <c r="A1" s="15" t="s">
        <v>86</v>
      </c>
      <c r="B1" s="9" t="s">
        <v>87</v>
      </c>
      <c r="C1" s="9" t="s">
        <v>88</v>
      </c>
      <c r="D1" t="s">
        <v>89</v>
      </c>
      <c r="E1" t="s">
        <v>90</v>
      </c>
      <c r="G1" s="9" t="s">
        <v>86</v>
      </c>
      <c r="H1" s="9" t="s">
        <v>91</v>
      </c>
      <c r="I1" s="9" t="s">
        <v>87</v>
      </c>
      <c r="J1" s="9" t="s">
        <v>88</v>
      </c>
      <c r="K1" s="9" t="s">
        <v>89</v>
      </c>
      <c r="L1" s="9" t="s">
        <v>90</v>
      </c>
    </row>
    <row r="2" spans="1:12">
      <c r="A2" s="11" t="s">
        <v>92</v>
      </c>
      <c r="B2">
        <v>0.264789632</v>
      </c>
      <c r="C2">
        <v>1.0191278999999999E-2</v>
      </c>
      <c r="D2">
        <v>9.3700000000000001E-6</v>
      </c>
      <c r="E2">
        <v>7</v>
      </c>
      <c r="G2" t="s">
        <v>7</v>
      </c>
      <c r="H2" t="str">
        <f>VLOOKUP(G2,Covid_Pasc_result!A:B,2,0)</f>
        <v>Human cytomegaloviru</v>
      </c>
      <c r="I2">
        <v>1.1132377794999999</v>
      </c>
      <c r="J2">
        <v>0.146219191</v>
      </c>
      <c r="K2">
        <v>4.6647800000000003E-3</v>
      </c>
      <c r="L2">
        <v>2</v>
      </c>
    </row>
    <row r="3" spans="1:12">
      <c r="A3" s="11" t="s">
        <v>93</v>
      </c>
      <c r="B3">
        <v>0.31287770199999998</v>
      </c>
      <c r="C3">
        <v>0.25818887899999998</v>
      </c>
      <c r="D3">
        <v>2.0453388999999999E-2</v>
      </c>
      <c r="E3">
        <v>1</v>
      </c>
      <c r="G3" t="s">
        <v>10</v>
      </c>
      <c r="H3" t="str">
        <f>VLOOKUP(G3,Covid_Pasc_result!A:B,2,0)</f>
        <v>Focal adhesion</v>
      </c>
      <c r="I3">
        <v>0.93539177250000005</v>
      </c>
      <c r="J3">
        <v>0.146219191</v>
      </c>
      <c r="K3">
        <v>4.6647800000000003E-3</v>
      </c>
      <c r="L3">
        <v>2</v>
      </c>
    </row>
    <row r="4" spans="1:12">
      <c r="A4" s="11" t="s">
        <v>94</v>
      </c>
      <c r="B4">
        <v>0.2762228538</v>
      </c>
      <c r="C4">
        <v>0.13200700900000001</v>
      </c>
      <c r="D4">
        <v>3.518569E-3</v>
      </c>
      <c r="E4">
        <v>10</v>
      </c>
      <c r="G4" t="s">
        <v>12</v>
      </c>
      <c r="H4" t="str">
        <f>VLOOKUP(G4,Covid_Pasc_result!A:B,2,0)</f>
        <v>Apelin signaling pat</v>
      </c>
      <c r="I4">
        <v>0.86978678899999995</v>
      </c>
      <c r="J4">
        <v>0.13665022499999999</v>
      </c>
      <c r="K4">
        <v>4.144722E-3</v>
      </c>
      <c r="L4">
        <v>2</v>
      </c>
    </row>
    <row r="5" spans="1:12">
      <c r="A5" s="11" t="s">
        <v>95</v>
      </c>
      <c r="B5">
        <v>0.27122965714285713</v>
      </c>
      <c r="C5">
        <v>0.13665022499999999</v>
      </c>
      <c r="D5">
        <v>4.043736E-3</v>
      </c>
      <c r="E5">
        <v>7</v>
      </c>
      <c r="G5" t="s">
        <v>15</v>
      </c>
      <c r="H5" t="str">
        <f>VLOOKUP(G5,Covid_Pasc_result!A:B,2,0)</f>
        <v>Cushing syndrome KEG</v>
      </c>
      <c r="I5">
        <v>0.84092322249999996</v>
      </c>
      <c r="J5">
        <v>1.7647493E-2</v>
      </c>
      <c r="K5">
        <v>3.6199999999999999E-5</v>
      </c>
      <c r="L5">
        <v>2</v>
      </c>
    </row>
    <row r="6" spans="1:12">
      <c r="A6" s="11" t="s">
        <v>96</v>
      </c>
      <c r="B6">
        <v>0.126859202</v>
      </c>
      <c r="C6">
        <v>5.6170425000000003E-2</v>
      </c>
      <c r="D6">
        <v>7.5719899999999996E-4</v>
      </c>
      <c r="E6">
        <v>2</v>
      </c>
      <c r="G6" t="s">
        <v>18</v>
      </c>
      <c r="H6" t="str">
        <f>VLOOKUP(G6,Covid_Pasc_result!A:B,2,0)</f>
        <v>Th17 cell differenti</v>
      </c>
      <c r="I6">
        <v>0.79774414930000015</v>
      </c>
      <c r="J6">
        <v>4.2726105E-2</v>
      </c>
      <c r="K6">
        <v>2.9557100000000001E-4</v>
      </c>
      <c r="L6">
        <v>10</v>
      </c>
    </row>
    <row r="7" spans="1:12">
      <c r="A7" s="11" t="s">
        <v>97</v>
      </c>
      <c r="B7">
        <v>0.21065720685714284</v>
      </c>
      <c r="C7">
        <v>0.208057667</v>
      </c>
      <c r="D7">
        <v>1.0596431E-2</v>
      </c>
      <c r="E7">
        <v>7</v>
      </c>
      <c r="G7" t="s">
        <v>19</v>
      </c>
      <c r="H7" t="str">
        <f>VLOOKUP(G7,Covid_Pasc_result!A:B,2,0)</f>
        <v>Small cell lung canc</v>
      </c>
      <c r="I7">
        <v>0.78634624799999997</v>
      </c>
      <c r="J7">
        <v>0.25598808299999998</v>
      </c>
      <c r="K7">
        <v>1.9733180999999999E-2</v>
      </c>
      <c r="L7">
        <v>1</v>
      </c>
    </row>
    <row r="8" spans="1:12">
      <c r="A8" s="11" t="s">
        <v>98</v>
      </c>
      <c r="B8">
        <v>0.21003270949999997</v>
      </c>
      <c r="C8">
        <v>0.165613279</v>
      </c>
      <c r="D8">
        <v>6.1355489999999997E-3</v>
      </c>
      <c r="E8">
        <v>4</v>
      </c>
      <c r="G8" t="s">
        <v>21</v>
      </c>
      <c r="H8" t="str">
        <f>VLOOKUP(G8,Covid_Pasc_result!A:B,2,0)</f>
        <v>PD‑L1 expression and</v>
      </c>
      <c r="I8">
        <v>0.68550753499999995</v>
      </c>
      <c r="J8">
        <v>7.1189126000000005E-2</v>
      </c>
      <c r="K8">
        <v>1.1559509999999999E-3</v>
      </c>
      <c r="L8">
        <v>2</v>
      </c>
    </row>
    <row r="9" spans="1:12">
      <c r="A9" s="11" t="s">
        <v>99</v>
      </c>
      <c r="B9">
        <v>0.17869012966666667</v>
      </c>
      <c r="C9">
        <v>0.23084941</v>
      </c>
      <c r="D9">
        <v>1.5276799000000001E-2</v>
      </c>
      <c r="E9">
        <v>3</v>
      </c>
      <c r="G9" t="s">
        <v>24</v>
      </c>
      <c r="H9" t="str">
        <f>VLOOKUP(G9,Covid_Pasc_result!A:B,2,0)</f>
        <v>Mitophagy – animal</v>
      </c>
      <c r="I9">
        <v>0.67425960250000005</v>
      </c>
      <c r="J9">
        <v>0.25072385400000002</v>
      </c>
      <c r="K9">
        <v>1.7536913000000001E-2</v>
      </c>
      <c r="L9">
        <v>2</v>
      </c>
    </row>
    <row r="10" spans="1:12">
      <c r="A10" s="11" t="s">
        <v>100</v>
      </c>
      <c r="B10">
        <v>0.19390116700000001</v>
      </c>
      <c r="C10">
        <v>0.13665022499999999</v>
      </c>
      <c r="D10">
        <v>3.9977540000000001E-3</v>
      </c>
      <c r="E10">
        <v>1</v>
      </c>
      <c r="G10" t="s">
        <v>27</v>
      </c>
      <c r="H10" t="str">
        <f>VLOOKUP(G10,Covid_Pasc_result!A:B,2,0)</f>
        <v>Yersinia infection K</v>
      </c>
      <c r="I10">
        <v>0.67369474566666654</v>
      </c>
      <c r="J10">
        <v>0.165613279</v>
      </c>
      <c r="K10">
        <v>6.3948850000000003E-3</v>
      </c>
      <c r="L10">
        <v>3</v>
      </c>
    </row>
    <row r="11" spans="1:12">
      <c r="A11" s="11" t="s">
        <v>101</v>
      </c>
      <c r="B11">
        <v>0.2381164362631579</v>
      </c>
      <c r="C11">
        <v>4.3259170999999999E-2</v>
      </c>
      <c r="D11">
        <v>4.2411E-4</v>
      </c>
      <c r="E11">
        <v>19</v>
      </c>
      <c r="G11" t="s">
        <v>31</v>
      </c>
      <c r="H11" t="str">
        <f>VLOOKUP(G11,Covid_Pasc_result!A:B,2,0)</f>
        <v>Growth hormone synth</v>
      </c>
      <c r="I11">
        <v>0.65571487799999995</v>
      </c>
      <c r="J11">
        <v>0.27761394</v>
      </c>
      <c r="K11">
        <v>2.2964387999999999E-2</v>
      </c>
      <c r="L11">
        <v>1</v>
      </c>
    </row>
    <row r="12" spans="1:12">
      <c r="A12" s="11" t="s">
        <v>102</v>
      </c>
      <c r="B12">
        <v>0.30508473233333333</v>
      </c>
      <c r="C12">
        <v>1.7647493E-2</v>
      </c>
      <c r="D12">
        <v>4.8699999999999998E-5</v>
      </c>
      <c r="E12">
        <v>15</v>
      </c>
      <c r="G12" t="s">
        <v>103</v>
      </c>
      <c r="H12" t="str">
        <f>VLOOKUP(G12,Covid_Pasc_result!A:B,2,0)</f>
        <v>Folate biosynthesis</v>
      </c>
      <c r="I12">
        <v>0.62567136000000001</v>
      </c>
      <c r="J12">
        <v>0.12641440700000001</v>
      </c>
      <c r="K12">
        <v>3.0596619999999999E-3</v>
      </c>
      <c r="L12">
        <v>1</v>
      </c>
    </row>
    <row r="13" spans="1:12">
      <c r="A13" s="11" t="s">
        <v>104</v>
      </c>
      <c r="B13">
        <v>0.2945610488</v>
      </c>
      <c r="C13">
        <v>0.175794956</v>
      </c>
      <c r="D13">
        <v>7.7018010000000003E-3</v>
      </c>
      <c r="E13">
        <v>5</v>
      </c>
      <c r="G13" t="s">
        <v>40</v>
      </c>
      <c r="H13" t="str">
        <f>VLOOKUP(G13,Covid_Pasc_result!A:B,2,0)</f>
        <v>Toll‑like receptor s</v>
      </c>
      <c r="I13">
        <v>0.61501374799999997</v>
      </c>
      <c r="J13">
        <v>0.165613279</v>
      </c>
      <c r="K13">
        <v>6.7990749999999999E-3</v>
      </c>
      <c r="L13">
        <v>1</v>
      </c>
    </row>
    <row r="14" spans="1:12">
      <c r="A14" s="11" t="s">
        <v>105</v>
      </c>
      <c r="B14">
        <v>0.23616478399999999</v>
      </c>
      <c r="C14">
        <v>0.25378521500000001</v>
      </c>
      <c r="D14">
        <v>1.8813258999999999E-2</v>
      </c>
      <c r="E14">
        <v>1</v>
      </c>
      <c r="G14" t="s">
        <v>106</v>
      </c>
      <c r="H14" t="str">
        <f>VLOOKUP(G14,Covid_Pasc_result!A:B,2,0)</f>
        <v>Pathogenic Escherich</v>
      </c>
      <c r="I14">
        <v>0.61501374799999997</v>
      </c>
      <c r="J14">
        <v>0.165613279</v>
      </c>
      <c r="K14">
        <v>6.7990749999999999E-3</v>
      </c>
      <c r="L14">
        <v>1</v>
      </c>
    </row>
    <row r="15" spans="1:12">
      <c r="A15" s="11" t="s">
        <v>107</v>
      </c>
      <c r="B15">
        <v>0.31402142220000001</v>
      </c>
      <c r="C15">
        <v>7.5031633E-2</v>
      </c>
      <c r="D15">
        <v>1.265457E-3</v>
      </c>
      <c r="E15">
        <v>5</v>
      </c>
      <c r="G15" t="s">
        <v>108</v>
      </c>
      <c r="H15" t="str">
        <f>VLOOKUP(G15,Covid_Pasc_result!A:B,2,0)</f>
        <v>Chagas disease (Amer</v>
      </c>
      <c r="I15">
        <v>0.61501374799999997</v>
      </c>
      <c r="J15">
        <v>0.165613279</v>
      </c>
      <c r="K15">
        <v>6.7990749999999999E-3</v>
      </c>
      <c r="L15">
        <v>1</v>
      </c>
    </row>
    <row r="16" spans="1:12">
      <c r="A16" s="11" t="s">
        <v>109</v>
      </c>
      <c r="B16">
        <v>0.30083463877777777</v>
      </c>
      <c r="C16">
        <v>6.2002401999999998E-2</v>
      </c>
      <c r="D16">
        <v>9.1180000000000005E-4</v>
      </c>
      <c r="E16">
        <v>9</v>
      </c>
      <c r="G16" t="s">
        <v>110</v>
      </c>
      <c r="H16" t="str">
        <f>VLOOKUP(G16,Covid_Pasc_result!A:B,2,0)</f>
        <v>Alcoholic liver dise</v>
      </c>
      <c r="I16">
        <v>0.598652038</v>
      </c>
      <c r="J16">
        <v>0.25278369299999998</v>
      </c>
      <c r="K16">
        <v>1.8199805999999999E-2</v>
      </c>
      <c r="L16">
        <v>1</v>
      </c>
    </row>
    <row r="17" spans="1:12">
      <c r="A17" s="11" t="s">
        <v>111</v>
      </c>
      <c r="B17">
        <v>0.28374733799999996</v>
      </c>
      <c r="C17">
        <v>4.2726105E-2</v>
      </c>
      <c r="D17">
        <v>3.27845E-4</v>
      </c>
      <c r="E17">
        <v>4</v>
      </c>
      <c r="G17" t="s">
        <v>112</v>
      </c>
      <c r="H17" t="str">
        <f>VLOOKUP(G17,Covid_Pasc_result!A:B,2,0)</f>
        <v>Epithelial cell sign</v>
      </c>
      <c r="I17">
        <v>0.598652038</v>
      </c>
      <c r="J17">
        <v>0.25278369299999998</v>
      </c>
      <c r="K17">
        <v>1.8199805999999999E-2</v>
      </c>
      <c r="L17">
        <v>1</v>
      </c>
    </row>
    <row r="18" spans="1:12">
      <c r="A18" s="11" t="s">
        <v>113</v>
      </c>
      <c r="B18">
        <v>0.18922041179999999</v>
      </c>
      <c r="C18">
        <v>0.229429731</v>
      </c>
      <c r="D18">
        <v>1.3987902999999999E-2</v>
      </c>
      <c r="E18">
        <v>5</v>
      </c>
      <c r="G18" t="s">
        <v>114</v>
      </c>
      <c r="H18" t="str">
        <f>VLOOKUP(G18,Covid_Pasc_result!A:B,2,0)</f>
        <v>Leukocyte transendot</v>
      </c>
      <c r="I18">
        <v>0.56720530000000002</v>
      </c>
      <c r="J18">
        <v>0.12681842700000001</v>
      </c>
      <c r="K18">
        <v>3.1082950000000001E-3</v>
      </c>
      <c r="L18">
        <v>1</v>
      </c>
    </row>
    <row r="19" spans="1:12">
      <c r="A19" s="11" t="s">
        <v>115</v>
      </c>
      <c r="B19">
        <v>0.10901297</v>
      </c>
      <c r="C19">
        <v>0.35486563799999998</v>
      </c>
      <c r="D19">
        <v>4.9775052E-2</v>
      </c>
      <c r="E19">
        <v>1</v>
      </c>
      <c r="F19" s="12"/>
      <c r="G19" t="s">
        <v>116</v>
      </c>
      <c r="H19" t="str">
        <f>VLOOKUP(G19,Covid_Pasc_result!A:B,2,0)</f>
        <v>T cell receptor sign</v>
      </c>
      <c r="I19">
        <v>0.55212852559999992</v>
      </c>
      <c r="J19">
        <v>0.165613279</v>
      </c>
      <c r="K19">
        <v>6.3948850000000003E-3</v>
      </c>
      <c r="L19">
        <v>5</v>
      </c>
    </row>
    <row r="20" spans="1:12">
      <c r="A20" s="11" t="s">
        <v>117</v>
      </c>
      <c r="B20">
        <v>0.10901297</v>
      </c>
      <c r="C20">
        <v>0.35486563799999998</v>
      </c>
      <c r="D20">
        <v>4.9775052E-2</v>
      </c>
      <c r="E20">
        <v>1</v>
      </c>
      <c r="F20" s="13"/>
      <c r="G20" t="s">
        <v>118</v>
      </c>
      <c r="H20" t="str">
        <f>VLOOKUP(G20,Covid_Pasc_result!A:B,2,0)</f>
        <v xml:space="preserve">Prolactin signaling </v>
      </c>
      <c r="I20">
        <v>0.55006137200000005</v>
      </c>
      <c r="J20">
        <v>0.25598808299999998</v>
      </c>
      <c r="K20">
        <v>1.9733180999999999E-2</v>
      </c>
      <c r="L20">
        <v>2</v>
      </c>
    </row>
    <row r="21" spans="1:12">
      <c r="A21" s="11" t="s">
        <v>119</v>
      </c>
      <c r="B21">
        <v>0.21383007199999998</v>
      </c>
      <c r="C21">
        <v>0.22977756199999999</v>
      </c>
      <c r="D21">
        <v>1.4191738000000001E-2</v>
      </c>
      <c r="E21">
        <v>2</v>
      </c>
      <c r="F21" s="13"/>
      <c r="G21" t="s">
        <v>120</v>
      </c>
      <c r="H21" t="str">
        <f>VLOOKUP(G21,Covid_Pasc_result!A:B,2,0)</f>
        <v>Inflammatory bowel d</v>
      </c>
      <c r="I21">
        <v>0.54697554599999998</v>
      </c>
      <c r="J21">
        <v>0.208057667</v>
      </c>
      <c r="K21">
        <v>1.0570994E-2</v>
      </c>
      <c r="L21">
        <v>5</v>
      </c>
    </row>
    <row r="22" spans="1:12">
      <c r="A22" s="11" t="s">
        <v>121</v>
      </c>
      <c r="B22">
        <v>0.279395046875</v>
      </c>
      <c r="C22">
        <v>6.2736833000000006E-2</v>
      </c>
      <c r="D22">
        <v>9.4182100000000002E-4</v>
      </c>
      <c r="E22">
        <v>8</v>
      </c>
      <c r="F22" s="13"/>
      <c r="G22" t="s">
        <v>122</v>
      </c>
      <c r="H22" t="str">
        <f>VLOOKUP(G22,Covid_Pasc_result!A:B,2,0)</f>
        <v>HIV‑1 infection</v>
      </c>
      <c r="I22">
        <v>0.53443940199999995</v>
      </c>
      <c r="J22">
        <v>0.131733196</v>
      </c>
      <c r="K22">
        <v>3.4709110000000001E-3</v>
      </c>
      <c r="L22">
        <v>1</v>
      </c>
    </row>
    <row r="23" spans="1:12">
      <c r="A23" s="11" t="s">
        <v>123</v>
      </c>
      <c r="B23">
        <v>0.19886269100000001</v>
      </c>
      <c r="C23">
        <v>0.13074894000000001</v>
      </c>
      <c r="D23">
        <v>3.3648620000000001E-3</v>
      </c>
      <c r="E23">
        <v>1</v>
      </c>
      <c r="F23" s="13"/>
      <c r="G23" t="s">
        <v>36</v>
      </c>
      <c r="H23" t="str">
        <f>VLOOKUP(G23,Covid_Pasc_result!A:B,2,0)</f>
        <v>Tuberculosis</v>
      </c>
      <c r="I23">
        <v>0.51350252550000008</v>
      </c>
      <c r="J23">
        <v>0.143406546</v>
      </c>
      <c r="K23">
        <v>4.437519E-3</v>
      </c>
      <c r="L23">
        <v>4</v>
      </c>
    </row>
    <row r="24" spans="1:12">
      <c r="A24" s="11" t="s">
        <v>124</v>
      </c>
      <c r="B24">
        <v>0.16034683733333333</v>
      </c>
      <c r="C24">
        <v>9.0457209999999996E-2</v>
      </c>
      <c r="D24">
        <v>1.6628159999999999E-3</v>
      </c>
      <c r="E24">
        <v>3</v>
      </c>
      <c r="F24" s="13"/>
      <c r="G24" t="s">
        <v>125</v>
      </c>
      <c r="H24" t="str">
        <f>VLOOKUP(G24,Covid_Pasc_result!A:B,2,0)</f>
        <v>Insulin signaling pa</v>
      </c>
      <c r="I24">
        <v>0.50450133399999997</v>
      </c>
      <c r="J24">
        <v>0.29035814700000001</v>
      </c>
      <c r="K24">
        <v>2.6875401E-2</v>
      </c>
      <c r="L24">
        <v>1</v>
      </c>
    </row>
    <row r="25" spans="1:12">
      <c r="A25" s="11" t="s">
        <v>126</v>
      </c>
      <c r="B25">
        <v>0.27604435266666666</v>
      </c>
      <c r="C25">
        <v>9.9177479999999998E-2</v>
      </c>
      <c r="D25">
        <v>1.853501E-3</v>
      </c>
      <c r="E25">
        <v>3</v>
      </c>
      <c r="F25" s="13"/>
      <c r="G25" t="s">
        <v>127</v>
      </c>
      <c r="H25" t="str">
        <f>VLOOKUP(G25,Covid_Pasc_result!A:B,2,0)</f>
        <v>Nicotinate and nicot</v>
      </c>
      <c r="I25">
        <v>0.49605098266666675</v>
      </c>
      <c r="J25">
        <v>1.7647493E-2</v>
      </c>
      <c r="K25">
        <v>4.6499999999999999E-5</v>
      </c>
      <c r="L25">
        <v>12</v>
      </c>
    </row>
    <row r="26" spans="1:12">
      <c r="A26" s="11" t="s">
        <v>128</v>
      </c>
      <c r="B26">
        <v>9.3883649E-2</v>
      </c>
      <c r="C26">
        <v>0.165613279</v>
      </c>
      <c r="D26">
        <v>6.3583010000000002E-3</v>
      </c>
      <c r="E26">
        <v>1</v>
      </c>
      <c r="F26" s="13"/>
      <c r="G26" t="s">
        <v>129</v>
      </c>
      <c r="H26" t="str">
        <f>VLOOKUP(G26,Covid_Pasc_result!A:B,2,0)</f>
        <v>IL‑17 signaling path</v>
      </c>
      <c r="I26">
        <v>0.49384190033333336</v>
      </c>
      <c r="J26">
        <v>0.165613279</v>
      </c>
      <c r="K26">
        <v>6.7990749999999999E-3</v>
      </c>
      <c r="L26">
        <v>6</v>
      </c>
    </row>
    <row r="27" spans="1:12">
      <c r="A27" s="11" t="s">
        <v>130</v>
      </c>
      <c r="B27">
        <v>0.41906880755555559</v>
      </c>
      <c r="C27">
        <v>1.5799999999999999E-6</v>
      </c>
      <c r="D27">
        <v>4.8499999999999998E-10</v>
      </c>
      <c r="E27">
        <v>9</v>
      </c>
      <c r="F27" s="13"/>
      <c r="G27" t="s">
        <v>131</v>
      </c>
      <c r="H27" t="str">
        <f>VLOOKUP(G27,Covid_Pasc_result!A:B,2,0)</f>
        <v>Lipid and atheroscle</v>
      </c>
      <c r="I27">
        <v>0.48052753319999997</v>
      </c>
      <c r="J27">
        <v>0.165613279</v>
      </c>
      <c r="K27">
        <v>6.7990749999999999E-3</v>
      </c>
      <c r="L27">
        <v>5</v>
      </c>
    </row>
    <row r="28" spans="1:12">
      <c r="A28" s="11" t="s">
        <v>132</v>
      </c>
      <c r="B28">
        <v>0.18871440449999999</v>
      </c>
      <c r="C28">
        <v>0.33945918000000003</v>
      </c>
      <c r="D28">
        <v>4.3131685000000003E-2</v>
      </c>
      <c r="E28">
        <v>2</v>
      </c>
      <c r="F28" s="13"/>
      <c r="G28" t="s">
        <v>133</v>
      </c>
      <c r="H28" t="str">
        <f>VLOOKUP(G28,Covid_Pasc_result!A:B,2,0)</f>
        <v>Diabetic cardiomyopa</v>
      </c>
      <c r="I28">
        <v>0.47994236600000001</v>
      </c>
      <c r="J28">
        <v>0.13665022499999999</v>
      </c>
      <c r="K28">
        <v>4.0307140000000003E-3</v>
      </c>
      <c r="L28">
        <v>2</v>
      </c>
    </row>
    <row r="29" spans="1:12">
      <c r="A29" s="11" t="s">
        <v>134</v>
      </c>
      <c r="B29">
        <v>0.24805627650000001</v>
      </c>
      <c r="C29">
        <v>4.2726105E-2</v>
      </c>
      <c r="D29">
        <v>4.05793E-4</v>
      </c>
      <c r="E29">
        <v>4</v>
      </c>
      <c r="F29" s="13"/>
      <c r="G29" t="s">
        <v>135</v>
      </c>
      <c r="H29" t="str">
        <f>VLOOKUP(G29,Covid_Pasc_result!A:B,2,0)</f>
        <v>C‑type lectin recept</v>
      </c>
      <c r="I29">
        <v>0.47970207300000001</v>
      </c>
      <c r="J29">
        <v>0.307710339</v>
      </c>
      <c r="K29">
        <v>3.3938639999999999E-2</v>
      </c>
      <c r="L29">
        <v>1</v>
      </c>
    </row>
    <row r="30" spans="1:12">
      <c r="A30" s="11" t="s">
        <v>136</v>
      </c>
      <c r="B30">
        <v>0.30975391966666671</v>
      </c>
      <c r="C30">
        <v>0.16179893200000001</v>
      </c>
      <c r="D30">
        <v>5.6014949999999997E-3</v>
      </c>
      <c r="E30">
        <v>3</v>
      </c>
      <c r="F30" s="13"/>
      <c r="G30" t="s">
        <v>137</v>
      </c>
      <c r="H30" t="str">
        <f>VLOOKUP(G30,Covid_Pasc_result!A:B,2,0)</f>
        <v>Retinol metabolism</v>
      </c>
      <c r="I30">
        <v>0.47304425500000002</v>
      </c>
      <c r="J30">
        <v>0.307710339</v>
      </c>
      <c r="K30">
        <v>3.3326430999999997E-2</v>
      </c>
      <c r="L30">
        <v>1</v>
      </c>
    </row>
    <row r="31" spans="1:12">
      <c r="A31" s="11" t="s">
        <v>138</v>
      </c>
      <c r="B31">
        <v>0.20122241266666671</v>
      </c>
      <c r="C31">
        <v>4.2726105E-2</v>
      </c>
      <c r="D31">
        <v>3.8237500000000001E-4</v>
      </c>
      <c r="E31">
        <v>6</v>
      </c>
      <c r="F31" s="13"/>
      <c r="G31" t="s">
        <v>139</v>
      </c>
      <c r="H31" t="str">
        <f>VLOOKUP(G31,Covid_Pasc_result!A:B,2,0)</f>
        <v>Toxoplasmosis</v>
      </c>
      <c r="I31">
        <v>0.46346804850000001</v>
      </c>
      <c r="J31">
        <v>0.33523462199999998</v>
      </c>
      <c r="K31">
        <v>4.1675757000000001E-2</v>
      </c>
      <c r="L31">
        <v>2</v>
      </c>
    </row>
    <row r="32" spans="1:12">
      <c r="A32" s="11" t="s">
        <v>140</v>
      </c>
      <c r="B32">
        <v>0.13451244449999999</v>
      </c>
      <c r="C32">
        <v>0.30674497099999998</v>
      </c>
      <c r="D32">
        <v>3.1233978999999999E-2</v>
      </c>
      <c r="E32">
        <v>2</v>
      </c>
      <c r="F32" s="13"/>
      <c r="G32" t="s">
        <v>141</v>
      </c>
      <c r="H32" t="str">
        <f>VLOOKUP(G32,Covid_Pasc_result!A:B,2,0)</f>
        <v>Prostate cancer</v>
      </c>
      <c r="I32">
        <v>0.45986009</v>
      </c>
      <c r="J32">
        <v>0.34012037499999997</v>
      </c>
      <c r="K32">
        <v>4.5301385E-2</v>
      </c>
      <c r="L32">
        <v>1</v>
      </c>
    </row>
    <row r="33" spans="1:12">
      <c r="A33" s="11" t="s">
        <v>142</v>
      </c>
      <c r="B33">
        <v>0.35414710300000002</v>
      </c>
      <c r="C33">
        <v>4.5118211999999998E-2</v>
      </c>
      <c r="D33">
        <v>4.7565299999999998E-4</v>
      </c>
      <c r="E33">
        <v>1</v>
      </c>
      <c r="F33" s="13"/>
      <c r="G33" t="s">
        <v>143</v>
      </c>
      <c r="H33" t="str">
        <f>VLOOKUP(G33,Covid_Pasc_result!A:B,2,0)</f>
        <v>Th1 and Th2 cell dif</v>
      </c>
      <c r="I33">
        <v>0.45923408338461547</v>
      </c>
      <c r="J33">
        <v>0.13219909699999999</v>
      </c>
      <c r="K33">
        <v>3.564191E-3</v>
      </c>
      <c r="L33">
        <v>13</v>
      </c>
    </row>
    <row r="34" spans="1:12">
      <c r="A34" s="11" t="s">
        <v>144</v>
      </c>
      <c r="B34">
        <v>0.28375825399999999</v>
      </c>
      <c r="C34">
        <v>0.22281664500000001</v>
      </c>
      <c r="D34">
        <v>1.2265534999999999E-2</v>
      </c>
      <c r="E34">
        <v>2</v>
      </c>
      <c r="F34" s="13"/>
      <c r="G34" t="s">
        <v>145</v>
      </c>
      <c r="H34" t="str">
        <f>VLOOKUP(G34,Covid_Pasc_result!A:B,2,0)</f>
        <v>cGMP–PKG signaling p</v>
      </c>
      <c r="I34">
        <v>0.427750729</v>
      </c>
      <c r="J34">
        <v>0.25818887899999998</v>
      </c>
      <c r="K34">
        <v>2.0633275E-2</v>
      </c>
      <c r="L34">
        <v>1</v>
      </c>
    </row>
    <row r="35" spans="1:12">
      <c r="A35" s="11" t="s">
        <v>146</v>
      </c>
      <c r="B35">
        <v>0.33438078524999998</v>
      </c>
      <c r="C35">
        <v>0.104569735</v>
      </c>
      <c r="D35">
        <v>2.0183499999999999E-3</v>
      </c>
      <c r="E35">
        <v>4</v>
      </c>
      <c r="F35" s="13"/>
      <c r="G35" t="s">
        <v>147</v>
      </c>
      <c r="H35" t="str">
        <f>VLOOKUP(G35,Covid_Pasc_result!A:B,2,0)</f>
        <v>AGE‑RAGE signaling p</v>
      </c>
      <c r="I35">
        <v>0.42476698200000002</v>
      </c>
      <c r="J35">
        <v>0.22329868</v>
      </c>
      <c r="K35">
        <v>1.2927711E-2</v>
      </c>
      <c r="L35">
        <v>3</v>
      </c>
    </row>
    <row r="36" spans="1:12">
      <c r="A36" s="11" t="s">
        <v>148</v>
      </c>
      <c r="B36">
        <v>0.19583394800000001</v>
      </c>
      <c r="C36">
        <v>0.20084521599999999</v>
      </c>
      <c r="D36">
        <v>9.5517610000000006E-3</v>
      </c>
      <c r="E36">
        <v>7</v>
      </c>
      <c r="F36" s="13"/>
      <c r="G36" t="s">
        <v>130</v>
      </c>
      <c r="H36" t="str">
        <f>VLOOKUP(G36,Covid_Pasc_result!A:B,2,0)</f>
        <v>N‑Glycan biosynthesis</v>
      </c>
      <c r="I36">
        <v>0.41906880755555559</v>
      </c>
      <c r="J36">
        <v>1.5799999999999999E-6</v>
      </c>
      <c r="K36">
        <v>4.8499999999999998E-10</v>
      </c>
      <c r="L36">
        <v>9</v>
      </c>
    </row>
    <row r="37" spans="1:12">
      <c r="A37" s="11" t="s">
        <v>149</v>
      </c>
      <c r="B37">
        <v>0.33009120850000001</v>
      </c>
      <c r="C37">
        <v>4.8535821999999999E-2</v>
      </c>
      <c r="D37">
        <v>5.6506199999999996E-4</v>
      </c>
      <c r="E37">
        <v>16</v>
      </c>
      <c r="F37" s="13"/>
      <c r="G37" t="s">
        <v>150</v>
      </c>
      <c r="H37" t="str">
        <f>VLOOKUP(G37,Covid_Pasc_result!A:B,2,0)</f>
        <v>Melanogenesis KEGG</v>
      </c>
      <c r="I37">
        <v>0.39374381600000002</v>
      </c>
      <c r="J37">
        <v>0.35486563799999998</v>
      </c>
      <c r="K37">
        <v>4.9539550000000002E-2</v>
      </c>
      <c r="L37">
        <v>1</v>
      </c>
    </row>
    <row r="38" spans="1:12">
      <c r="A38" s="11" t="s">
        <v>151</v>
      </c>
      <c r="B38">
        <v>0.25087830999999999</v>
      </c>
      <c r="C38">
        <v>0.25378521500000001</v>
      </c>
      <c r="D38">
        <v>1.8552020999999998E-2</v>
      </c>
      <c r="E38">
        <v>2</v>
      </c>
      <c r="F38" s="13"/>
      <c r="G38" t="s">
        <v>152</v>
      </c>
      <c r="H38" t="str">
        <f>VLOOKUP(G38,Covid_Pasc_result!A:B,2,0)</f>
        <v>cAMP signaling pathw</v>
      </c>
      <c r="I38">
        <v>0.39227860199999998</v>
      </c>
      <c r="J38">
        <v>0.27767641399999998</v>
      </c>
      <c r="K38">
        <v>2.3345438999999999E-2</v>
      </c>
      <c r="L38">
        <v>1</v>
      </c>
    </row>
    <row r="39" spans="1:12">
      <c r="A39" s="11" t="s">
        <v>153</v>
      </c>
      <c r="B39">
        <v>0.28809154633333334</v>
      </c>
      <c r="C39">
        <v>0.10805922900000001</v>
      </c>
      <c r="D39">
        <v>2.1527389999999999E-3</v>
      </c>
      <c r="E39">
        <v>9</v>
      </c>
      <c r="F39" s="13"/>
      <c r="G39" t="s">
        <v>41</v>
      </c>
      <c r="H39" t="str">
        <f>VLOOKUP(G39,Covid_Pasc_result!A:B,2,0)</f>
        <v>Fluid shear stress a</v>
      </c>
      <c r="I39">
        <v>0.39179304016666666</v>
      </c>
      <c r="J39">
        <v>5.4778607999999999E-2</v>
      </c>
      <c r="K39">
        <v>6.8507300000000002E-4</v>
      </c>
      <c r="L39">
        <v>6</v>
      </c>
    </row>
    <row r="40" spans="1:12">
      <c r="A40" s="11" t="s">
        <v>154</v>
      </c>
      <c r="B40">
        <v>2.6880125000000001E-2</v>
      </c>
      <c r="C40">
        <v>0.33523462199999998</v>
      </c>
      <c r="D40">
        <v>4.1686663999999998E-2</v>
      </c>
      <c r="E40">
        <v>1</v>
      </c>
      <c r="F40" s="13"/>
      <c r="G40" t="s">
        <v>155</v>
      </c>
      <c r="H40" t="str">
        <f>VLOOKUP(G40,Covid_Pasc_result!A:B,2,0)</f>
        <v>Kaposi sarcoma‑assoc</v>
      </c>
      <c r="I40">
        <v>0.39164711899999999</v>
      </c>
      <c r="J40">
        <v>4.2726105E-2</v>
      </c>
      <c r="K40">
        <v>3.7620999999999998E-4</v>
      </c>
      <c r="L40">
        <v>3</v>
      </c>
    </row>
    <row r="41" spans="1:12">
      <c r="A41" s="11" t="s">
        <v>156</v>
      </c>
      <c r="B41">
        <v>0.25115763557142856</v>
      </c>
      <c r="C41">
        <v>1.7647493E-2</v>
      </c>
      <c r="D41">
        <v>2.5999999999999998E-5</v>
      </c>
      <c r="E41">
        <v>14</v>
      </c>
      <c r="F41" s="13"/>
      <c r="G41" t="s">
        <v>157</v>
      </c>
      <c r="H41" t="str">
        <f>VLOOKUP(G41,Covid_Pasc_result!A:B,2,0)</f>
        <v>Oxytocin signaling p</v>
      </c>
      <c r="I41">
        <v>0.39054468850000001</v>
      </c>
      <c r="J41">
        <v>8.8743188000000001E-2</v>
      </c>
      <c r="K41">
        <v>1.5769320000000001E-3</v>
      </c>
      <c r="L41">
        <v>2</v>
      </c>
    </row>
    <row r="42" spans="1:12">
      <c r="A42" s="11" t="s">
        <v>158</v>
      </c>
      <c r="B42">
        <v>0.35307786899999999</v>
      </c>
      <c r="C42">
        <v>0.113399902</v>
      </c>
      <c r="D42">
        <v>2.5709539999999999E-3</v>
      </c>
      <c r="E42">
        <v>5</v>
      </c>
      <c r="F42" s="13"/>
      <c r="G42" t="s">
        <v>159</v>
      </c>
      <c r="H42" t="str">
        <f>VLOOKUP(G42,Covid_Pasc_result!A:B,2,0)</f>
        <v>Salmonella infection</v>
      </c>
      <c r="I42">
        <v>0.37682411299999996</v>
      </c>
      <c r="J42">
        <v>4.2726105E-2</v>
      </c>
      <c r="K42">
        <v>3.7620999999999998E-4</v>
      </c>
      <c r="L42">
        <v>2</v>
      </c>
    </row>
    <row r="43" spans="1:12">
      <c r="A43" s="11" t="s">
        <v>160</v>
      </c>
      <c r="B43">
        <v>0.158934466</v>
      </c>
      <c r="C43">
        <v>0.165613279</v>
      </c>
      <c r="D43">
        <v>6.2797160000000003E-3</v>
      </c>
      <c r="E43">
        <v>1</v>
      </c>
      <c r="F43" s="13"/>
      <c r="G43" t="s">
        <v>161</v>
      </c>
      <c r="H43" t="str">
        <f>VLOOKUP(G43,Covid_Pasc_result!A:B,2,0)</f>
        <v>Human T‑cell leukemi</v>
      </c>
      <c r="I43">
        <v>0.37655445099999996</v>
      </c>
      <c r="J43">
        <v>0.21148530900000001</v>
      </c>
      <c r="K43">
        <v>1.1079653E-2</v>
      </c>
      <c r="L43">
        <v>2</v>
      </c>
    </row>
    <row r="44" spans="1:12">
      <c r="A44" s="11" t="s">
        <v>162</v>
      </c>
      <c r="B44">
        <v>0.17901044050000001</v>
      </c>
      <c r="C44">
        <v>0.29035814700000001</v>
      </c>
      <c r="D44">
        <v>2.7209127999999999E-2</v>
      </c>
      <c r="E44">
        <v>2</v>
      </c>
      <c r="F44" s="13"/>
      <c r="G44" t="s">
        <v>163</v>
      </c>
      <c r="H44" t="str">
        <f>VLOOKUP(G44,Covid_Pasc_result!A:B,2,0)</f>
        <v>Epstein‑Barr virus i</v>
      </c>
      <c r="I44">
        <v>0.36992702850000003</v>
      </c>
      <c r="J44">
        <v>0.30674497099999998</v>
      </c>
      <c r="K44">
        <v>3.2107895999999997E-2</v>
      </c>
      <c r="L44">
        <v>2</v>
      </c>
    </row>
    <row r="45" spans="1:12">
      <c r="A45" s="11" t="s">
        <v>164</v>
      </c>
      <c r="B45">
        <v>0.36326778042857139</v>
      </c>
      <c r="C45">
        <v>1.0191278999999999E-2</v>
      </c>
      <c r="D45">
        <v>9.3700000000000001E-6</v>
      </c>
      <c r="E45">
        <v>7</v>
      </c>
      <c r="F45" s="13"/>
      <c r="G45" t="s">
        <v>39</v>
      </c>
      <c r="H45" t="str">
        <f>VLOOKUP(G45,Covid_Pasc_result!A:B,2,0)</f>
        <v>Hepatitis B</v>
      </c>
      <c r="I45">
        <v>0.36925875499999999</v>
      </c>
      <c r="J45">
        <v>0.22562390399999999</v>
      </c>
      <c r="K45">
        <v>1.3686744000000001E-2</v>
      </c>
      <c r="L45">
        <v>2</v>
      </c>
    </row>
    <row r="46" spans="1:12">
      <c r="A46" s="11" t="s">
        <v>165</v>
      </c>
      <c r="B46">
        <v>0.29777162299999999</v>
      </c>
      <c r="C46">
        <v>0.33513300600000001</v>
      </c>
      <c r="D46">
        <v>4.1070220999999997E-2</v>
      </c>
      <c r="E46">
        <v>1</v>
      </c>
      <c r="F46" s="12"/>
      <c r="G46" t="s">
        <v>164</v>
      </c>
      <c r="H46" t="str">
        <f>VLOOKUP(G46,Covid_Pasc_result!A:B,2,0)</f>
        <v xml:space="preserve">Pyruvate metabolism </v>
      </c>
      <c r="I46">
        <v>0.36326778042857139</v>
      </c>
      <c r="J46">
        <v>1.0191278999999999E-2</v>
      </c>
      <c r="K46">
        <v>9.3700000000000001E-6</v>
      </c>
      <c r="L46">
        <v>7</v>
      </c>
    </row>
    <row r="47" spans="1:12">
      <c r="A47" s="11" t="s">
        <v>166</v>
      </c>
      <c r="B47">
        <v>0.21379698611111109</v>
      </c>
      <c r="C47">
        <v>5.4778607999999999E-2</v>
      </c>
      <c r="D47">
        <v>7.0476399999999998E-4</v>
      </c>
      <c r="E47">
        <v>9</v>
      </c>
      <c r="F47" s="13"/>
      <c r="G47" t="s">
        <v>167</v>
      </c>
      <c r="H47" t="str">
        <f>VLOOKUP(G47,Covid_Pasc_result!A:B,2,0)</f>
        <v>mTOR signaling pathw</v>
      </c>
      <c r="I47">
        <v>0.35857328550000001</v>
      </c>
      <c r="J47">
        <v>0.10805922900000001</v>
      </c>
      <c r="K47">
        <v>2.2743949999999998E-3</v>
      </c>
      <c r="L47">
        <v>2</v>
      </c>
    </row>
    <row r="48" spans="1:12">
      <c r="A48" s="11" t="s">
        <v>168</v>
      </c>
      <c r="B48">
        <v>0.202632811</v>
      </c>
      <c r="C48">
        <v>0.16427719299999999</v>
      </c>
      <c r="D48">
        <v>5.7879530000000002E-3</v>
      </c>
      <c r="E48">
        <v>3</v>
      </c>
      <c r="F48" s="13"/>
      <c r="G48" t="s">
        <v>169</v>
      </c>
      <c r="H48" t="str">
        <f>VLOOKUP(G48,Covid_Pasc_result!A:B,2,0)</f>
        <v>Pathways in cancer</v>
      </c>
      <c r="I48">
        <v>0.35728734399999995</v>
      </c>
      <c r="J48">
        <v>4.2726105E-2</v>
      </c>
      <c r="K48">
        <v>3.7620999999999998E-4</v>
      </c>
      <c r="L48">
        <v>10</v>
      </c>
    </row>
    <row r="49" spans="1:12">
      <c r="A49" s="11" t="s">
        <v>170</v>
      </c>
      <c r="B49">
        <v>0.27245091633333335</v>
      </c>
      <c r="C49">
        <v>6.0923375000000002E-2</v>
      </c>
      <c r="D49">
        <v>8.6879700000000004E-4</v>
      </c>
      <c r="E49">
        <v>3</v>
      </c>
      <c r="F49" s="13"/>
      <c r="G49" t="s">
        <v>171</v>
      </c>
      <c r="H49" t="str">
        <f>VLOOKUP(G49,Covid_Pasc_result!A:B,2,0)</f>
        <v>Apoptosis</v>
      </c>
      <c r="I49">
        <v>0.35491064475</v>
      </c>
      <c r="J49">
        <v>5.4778607999999999E-2</v>
      </c>
      <c r="K49">
        <v>7.0487200000000005E-4</v>
      </c>
      <c r="L49">
        <v>4</v>
      </c>
    </row>
    <row r="50" spans="1:12">
      <c r="A50" s="11" t="s">
        <v>172</v>
      </c>
      <c r="B50">
        <v>0.30126680699999997</v>
      </c>
      <c r="C50">
        <v>4.8535821999999999E-2</v>
      </c>
      <c r="D50">
        <v>5.5978199999999999E-4</v>
      </c>
      <c r="E50">
        <v>2</v>
      </c>
      <c r="F50" s="13"/>
      <c r="G50" t="s">
        <v>142</v>
      </c>
      <c r="H50" t="str">
        <f>VLOOKUP(G50,Covid_Pasc_result!A:B,2,0)</f>
        <v>Glycosaminoglycan biosynthesis</v>
      </c>
      <c r="I50">
        <v>0.35414710300000002</v>
      </c>
      <c r="J50">
        <v>4.5118211999999998E-2</v>
      </c>
      <c r="K50">
        <v>4.7565299999999998E-4</v>
      </c>
      <c r="L50">
        <v>1</v>
      </c>
    </row>
    <row r="51" spans="1:12">
      <c r="A51" s="11" t="s">
        <v>127</v>
      </c>
      <c r="B51">
        <v>0.49605098266666675</v>
      </c>
      <c r="C51">
        <v>1.7647493E-2</v>
      </c>
      <c r="D51">
        <v>4.6499999999999999E-5</v>
      </c>
      <c r="E51">
        <v>12</v>
      </c>
      <c r="F51" s="13"/>
      <c r="G51" t="s">
        <v>173</v>
      </c>
      <c r="H51" t="str">
        <f>VLOOKUP(G51,Covid_Pasc_result!A:B,2,0)</f>
        <v>p53 signaling pathwa</v>
      </c>
      <c r="I51">
        <v>0.3539818435</v>
      </c>
      <c r="J51">
        <v>4.6054382999999997E-2</v>
      </c>
      <c r="K51">
        <v>5.0795300000000001E-4</v>
      </c>
      <c r="L51">
        <v>2</v>
      </c>
    </row>
    <row r="52" spans="1:12">
      <c r="A52" s="11" t="s">
        <v>174</v>
      </c>
      <c r="B52">
        <v>1.55567E-17</v>
      </c>
      <c r="C52">
        <v>0.24010305500000001</v>
      </c>
      <c r="D52">
        <v>1.6256977999999998E-2</v>
      </c>
      <c r="E52">
        <v>1</v>
      </c>
      <c r="F52" s="13"/>
      <c r="G52" t="s">
        <v>158</v>
      </c>
      <c r="H52" t="str">
        <f>VLOOKUP(G52,Covid_Pasc_result!A:B,2,0)</f>
        <v>Glycosphingolipid bi</v>
      </c>
      <c r="I52">
        <v>0.35307786899999999</v>
      </c>
      <c r="J52">
        <v>0.113399902</v>
      </c>
      <c r="K52">
        <v>2.5709539999999999E-3</v>
      </c>
      <c r="L52">
        <v>5</v>
      </c>
    </row>
    <row r="53" spans="1:12">
      <c r="A53" s="11" t="s">
        <v>175</v>
      </c>
      <c r="B53">
        <v>0.28130455666666671</v>
      </c>
      <c r="C53">
        <v>0.25818887899999998</v>
      </c>
      <c r="D53">
        <v>2.0453388999999999E-2</v>
      </c>
      <c r="E53">
        <v>3</v>
      </c>
      <c r="F53" s="13"/>
      <c r="G53" t="s">
        <v>176</v>
      </c>
      <c r="H53" t="str">
        <f>VLOOKUP(G53,Covid_Pasc_result!A:B,2,0)</f>
        <v>Colorectal cancer</v>
      </c>
      <c r="I53">
        <v>0.34519925000000001</v>
      </c>
      <c r="J53">
        <v>0.30674497099999998</v>
      </c>
      <c r="K53">
        <v>3.2696269E-2</v>
      </c>
      <c r="L53">
        <v>1</v>
      </c>
    </row>
    <row r="54" spans="1:12">
      <c r="A54" s="11" t="s">
        <v>103</v>
      </c>
      <c r="B54">
        <v>0.62567136000000001</v>
      </c>
      <c r="C54">
        <v>0.12641440700000001</v>
      </c>
      <c r="D54">
        <v>3.0596619999999999E-3</v>
      </c>
      <c r="E54">
        <v>1</v>
      </c>
      <c r="F54" s="13"/>
      <c r="G54" t="s">
        <v>177</v>
      </c>
      <c r="H54" t="str">
        <f>VLOOKUP(G54,Covid_Pasc_result!A:B,2,0)</f>
        <v>Porphyrin and chloro</v>
      </c>
      <c r="I54">
        <v>0.34355016220000001</v>
      </c>
      <c r="J54">
        <v>0.14269316700000001</v>
      </c>
      <c r="K54">
        <v>4.3717269999999997E-3</v>
      </c>
      <c r="L54">
        <v>5</v>
      </c>
    </row>
    <row r="55" spans="1:12">
      <c r="A55" s="11" t="s">
        <v>137</v>
      </c>
      <c r="B55">
        <v>0.47304425500000002</v>
      </c>
      <c r="C55">
        <v>0.307710339</v>
      </c>
      <c r="D55">
        <v>3.3326430999999997E-2</v>
      </c>
      <c r="E55">
        <v>1</v>
      </c>
      <c r="F55" s="13"/>
      <c r="G55" t="s">
        <v>146</v>
      </c>
      <c r="H55" t="str">
        <f>VLOOKUP(G55,Covid_Pasc_result!A:B,2,0)</f>
        <v>Glycerolipid metabol</v>
      </c>
      <c r="I55">
        <v>0.33438078524999998</v>
      </c>
      <c r="J55">
        <v>0.104569735</v>
      </c>
      <c r="K55">
        <v>2.0183499999999999E-3</v>
      </c>
      <c r="L55">
        <v>4</v>
      </c>
    </row>
    <row r="56" spans="1:12">
      <c r="A56" s="11" t="s">
        <v>177</v>
      </c>
      <c r="B56">
        <v>0.34355016220000001</v>
      </c>
      <c r="C56">
        <v>0.14269316700000001</v>
      </c>
      <c r="D56">
        <v>4.3717269999999997E-3</v>
      </c>
      <c r="E56">
        <v>5</v>
      </c>
      <c r="F56" s="13"/>
      <c r="G56" t="s">
        <v>149</v>
      </c>
      <c r="H56" t="str">
        <f>VLOOKUP(G56,Covid_Pasc_result!A:B,2,0)</f>
        <v xml:space="preserve">Glycerophospholipid </v>
      </c>
      <c r="I56">
        <v>0.33009120850000001</v>
      </c>
      <c r="J56">
        <v>4.8535821999999999E-2</v>
      </c>
      <c r="K56">
        <v>5.6506199999999996E-4</v>
      </c>
      <c r="L56">
        <v>16</v>
      </c>
    </row>
    <row r="57" spans="1:12">
      <c r="A57" s="11" t="s">
        <v>178</v>
      </c>
      <c r="B57">
        <v>0.31781548674999999</v>
      </c>
      <c r="C57">
        <v>0.208057667</v>
      </c>
      <c r="D57">
        <v>1.0772594E-2</v>
      </c>
      <c r="E57">
        <v>4</v>
      </c>
      <c r="F57" s="13"/>
      <c r="G57" t="s">
        <v>179</v>
      </c>
      <c r="H57" t="str">
        <f>VLOOKUP(G57,Covid_Pasc_result!A:B,2,0)</f>
        <v>Cortisol synthesis a</v>
      </c>
      <c r="I57">
        <v>0.32830226699999998</v>
      </c>
      <c r="J57">
        <v>0.28878959799999998</v>
      </c>
      <c r="K57">
        <v>2.5286211999999999E-2</v>
      </c>
      <c r="L57">
        <v>1</v>
      </c>
    </row>
    <row r="58" spans="1:12">
      <c r="A58" s="11" t="s">
        <v>180</v>
      </c>
      <c r="B58">
        <v>0.22095123150000001</v>
      </c>
      <c r="C58">
        <v>0.25818887899999998</v>
      </c>
      <c r="D58">
        <v>2.0519102000000001E-2</v>
      </c>
      <c r="E58">
        <v>2</v>
      </c>
      <c r="F58" s="13"/>
      <c r="G58" t="s">
        <v>181</v>
      </c>
      <c r="H58" t="str">
        <f>VLOOKUP(G58,Covid_Pasc_result!A:B,2,0)</f>
        <v>Longevity regulating</v>
      </c>
      <c r="I58">
        <v>0.32155783049999997</v>
      </c>
      <c r="J58">
        <v>0.30674497099999998</v>
      </c>
      <c r="K58">
        <v>3.1225725999999999E-2</v>
      </c>
      <c r="L58">
        <v>2</v>
      </c>
    </row>
    <row r="59" spans="1:12">
      <c r="A59" s="11" t="s">
        <v>182</v>
      </c>
      <c r="B59">
        <v>0.31908354300000003</v>
      </c>
      <c r="C59">
        <v>0.121754162</v>
      </c>
      <c r="D59">
        <v>2.9095660000000001E-3</v>
      </c>
      <c r="E59">
        <v>2</v>
      </c>
      <c r="F59" s="13"/>
      <c r="G59" t="s">
        <v>182</v>
      </c>
      <c r="H59" t="str">
        <f>VLOOKUP(G59,Covid_Pasc_result!A:B,2,0)</f>
        <v>Metabolism of xenobi</v>
      </c>
      <c r="I59">
        <v>0.31908354300000003</v>
      </c>
      <c r="J59">
        <v>0.121754162</v>
      </c>
      <c r="K59">
        <v>2.9095660000000001E-3</v>
      </c>
      <c r="L59">
        <v>2</v>
      </c>
    </row>
    <row r="60" spans="1:12">
      <c r="A60" s="11" t="s">
        <v>183</v>
      </c>
      <c r="B60">
        <v>0.26613913322222221</v>
      </c>
      <c r="C60">
        <v>1.7647493E-2</v>
      </c>
      <c r="D60">
        <v>4.8699999999999998E-5</v>
      </c>
      <c r="E60">
        <v>9</v>
      </c>
      <c r="F60" s="13"/>
      <c r="G60" t="s">
        <v>178</v>
      </c>
      <c r="H60" t="str">
        <f>VLOOKUP(G60,Covid_Pasc_result!A:B,2,0)</f>
        <v>Terpenoid backbone b</v>
      </c>
      <c r="I60">
        <v>0.31781548674999999</v>
      </c>
      <c r="J60">
        <v>0.208057667</v>
      </c>
      <c r="K60">
        <v>1.0772594E-2</v>
      </c>
      <c r="L60">
        <v>4</v>
      </c>
    </row>
    <row r="61" spans="1:12">
      <c r="A61" s="11" t="s">
        <v>145</v>
      </c>
      <c r="B61">
        <v>0.427750729</v>
      </c>
      <c r="C61">
        <v>0.25818887899999998</v>
      </c>
      <c r="D61">
        <v>2.0633275E-2</v>
      </c>
      <c r="E61">
        <v>1</v>
      </c>
      <c r="F61" s="13"/>
      <c r="G61" t="s">
        <v>107</v>
      </c>
      <c r="H61" t="str">
        <f>VLOOKUP(G61,Covid_Pasc_result!A:B,2,0)</f>
        <v>Cysteine and methionine</v>
      </c>
      <c r="I61">
        <v>0.31402142220000001</v>
      </c>
      <c r="J61">
        <v>7.5031633E-2</v>
      </c>
      <c r="K61">
        <v>1.265457E-3</v>
      </c>
      <c r="L61">
        <v>5</v>
      </c>
    </row>
    <row r="62" spans="1:12">
      <c r="A62" s="11" t="s">
        <v>152</v>
      </c>
      <c r="B62">
        <v>0.39227860199999998</v>
      </c>
      <c r="C62">
        <v>0.27767641399999998</v>
      </c>
      <c r="D62">
        <v>2.3345438999999999E-2</v>
      </c>
      <c r="E62">
        <v>1</v>
      </c>
      <c r="F62" s="13"/>
      <c r="G62" t="s">
        <v>93</v>
      </c>
      <c r="H62" t="str">
        <f>VLOOKUP(G62,Covid_Pasc_result!A:B,2,0)</f>
        <v>Citrate cycle</v>
      </c>
      <c r="I62">
        <v>0.31287770199999998</v>
      </c>
      <c r="J62">
        <v>0.25818887899999998</v>
      </c>
      <c r="K62">
        <v>2.0453388999999999E-2</v>
      </c>
      <c r="L62">
        <v>1</v>
      </c>
    </row>
    <row r="63" spans="1:12">
      <c r="A63" s="11" t="s">
        <v>184</v>
      </c>
      <c r="B63">
        <v>0.17845883900000001</v>
      </c>
      <c r="C63">
        <v>4.2726105E-2</v>
      </c>
      <c r="D63">
        <v>2.9557100000000001E-4</v>
      </c>
      <c r="E63">
        <v>1</v>
      </c>
      <c r="F63" s="13"/>
      <c r="G63" t="s">
        <v>136</v>
      </c>
      <c r="H63" t="str">
        <f>VLOOKUP(G63,Covid_Pasc_result!A:B,2,0)</f>
        <v>Mannose‑type O‑glycan</v>
      </c>
      <c r="I63">
        <v>0.30975391966666671</v>
      </c>
      <c r="J63">
        <v>0.16179893200000001</v>
      </c>
      <c r="K63">
        <v>5.6014949999999997E-3</v>
      </c>
      <c r="L63">
        <v>3</v>
      </c>
    </row>
    <row r="64" spans="1:12">
      <c r="A64" s="11" t="s">
        <v>185</v>
      </c>
      <c r="B64">
        <v>0.23546047576923076</v>
      </c>
      <c r="C64">
        <v>4.2726105E-2</v>
      </c>
      <c r="D64">
        <v>2.4192699999999999E-4</v>
      </c>
      <c r="E64">
        <v>13</v>
      </c>
      <c r="F64" s="12"/>
      <c r="G64" t="s">
        <v>102</v>
      </c>
      <c r="H64" t="str">
        <f>VLOOKUP(G64,Covid_Pasc_result!A:B,2,0)</f>
        <v>Pyrimidine metabolism</v>
      </c>
      <c r="I64">
        <v>0.30508473233333333</v>
      </c>
      <c r="J64">
        <v>1.7647493E-2</v>
      </c>
      <c r="K64">
        <v>4.8699999999999998E-5</v>
      </c>
      <c r="L64">
        <v>15</v>
      </c>
    </row>
    <row r="65" spans="1:12">
      <c r="A65" s="11" t="s">
        <v>173</v>
      </c>
      <c r="B65">
        <v>0.3539818435</v>
      </c>
      <c r="C65">
        <v>4.6054382999999997E-2</v>
      </c>
      <c r="D65">
        <v>5.0795300000000001E-4</v>
      </c>
      <c r="E65">
        <v>2</v>
      </c>
      <c r="F65" s="13"/>
      <c r="G65" t="s">
        <v>172</v>
      </c>
      <c r="H65" t="str">
        <f>VLOOKUP(G65,Covid_Pasc_result!A:B,2,0)</f>
        <v>Vitamin B6 metabolis</v>
      </c>
      <c r="I65">
        <v>0.30126680699999997</v>
      </c>
      <c r="J65">
        <v>4.8535821999999999E-2</v>
      </c>
      <c r="K65">
        <v>5.5978199999999999E-4</v>
      </c>
      <c r="L65">
        <v>2</v>
      </c>
    </row>
    <row r="66" spans="1:12">
      <c r="A66" s="11" t="s">
        <v>24</v>
      </c>
      <c r="B66">
        <v>0.67425960250000005</v>
      </c>
      <c r="C66">
        <v>0.25072385400000002</v>
      </c>
      <c r="D66">
        <v>1.7536913000000001E-2</v>
      </c>
      <c r="E66">
        <v>2</v>
      </c>
      <c r="F66" s="13"/>
      <c r="G66" t="s">
        <v>109</v>
      </c>
      <c r="H66" t="str">
        <f>VLOOKUP(G66,Covid_Pasc_result!A:B,2,0)</f>
        <v>Valine, leucine</v>
      </c>
      <c r="I66">
        <v>0.30083463877777777</v>
      </c>
      <c r="J66">
        <v>6.2002401999999998E-2</v>
      </c>
      <c r="K66">
        <v>9.1180000000000005E-4</v>
      </c>
      <c r="L66">
        <v>9</v>
      </c>
    </row>
    <row r="67" spans="1:12">
      <c r="A67" s="11" t="s">
        <v>167</v>
      </c>
      <c r="B67">
        <v>0.35857328550000001</v>
      </c>
      <c r="C67">
        <v>0.10805922900000001</v>
      </c>
      <c r="D67">
        <v>2.2743949999999998E-3</v>
      </c>
      <c r="E67">
        <v>2</v>
      </c>
      <c r="F67" s="13"/>
      <c r="G67" t="s">
        <v>165</v>
      </c>
      <c r="H67" t="str">
        <f>VLOOKUP(G67,Covid_Pasc_result!A:B,2,0)</f>
        <v>Glyoxylate and dicar</v>
      </c>
      <c r="I67">
        <v>0.29777162299999999</v>
      </c>
      <c r="J67">
        <v>0.33513300600000001</v>
      </c>
      <c r="K67">
        <v>4.1070220999999997E-2</v>
      </c>
      <c r="L67">
        <v>1</v>
      </c>
    </row>
    <row r="68" spans="1:12">
      <c r="A68" s="11" t="s">
        <v>171</v>
      </c>
      <c r="B68">
        <v>0.35491064475</v>
      </c>
      <c r="C68">
        <v>5.4778607999999999E-2</v>
      </c>
      <c r="D68">
        <v>7.0487200000000005E-4</v>
      </c>
      <c r="E68">
        <v>4</v>
      </c>
      <c r="F68" s="13"/>
      <c r="G68" t="s">
        <v>104</v>
      </c>
      <c r="H68" t="str">
        <f>VLOOKUP(G68,Covid_Pasc_result!A:B,2,0)</f>
        <v>Alanine, aspartate</v>
      </c>
      <c r="I68">
        <v>0.2945610488</v>
      </c>
      <c r="J68">
        <v>0.175794956</v>
      </c>
      <c r="K68">
        <v>7.7018010000000003E-3</v>
      </c>
      <c r="L68">
        <v>5</v>
      </c>
    </row>
    <row r="69" spans="1:12">
      <c r="A69" s="11" t="s">
        <v>181</v>
      </c>
      <c r="B69">
        <v>0.32155783049999997</v>
      </c>
      <c r="C69">
        <v>0.30674497099999998</v>
      </c>
      <c r="D69">
        <v>3.1225725999999999E-2</v>
      </c>
      <c r="E69">
        <v>2</v>
      </c>
      <c r="F69" s="13"/>
      <c r="G69" t="s">
        <v>186</v>
      </c>
      <c r="H69" t="str">
        <f>VLOOKUP(G69,Covid_Pasc_result!A:B,2,0)</f>
        <v xml:space="preserve">Parathyroid hormone </v>
      </c>
      <c r="I69">
        <v>0.294360383</v>
      </c>
      <c r="J69">
        <v>0.29035814700000001</v>
      </c>
      <c r="K69">
        <v>2.6825056999999999E-2</v>
      </c>
      <c r="L69">
        <v>1</v>
      </c>
    </row>
    <row r="70" spans="1:12">
      <c r="A70" s="11" t="s">
        <v>187</v>
      </c>
      <c r="B70">
        <v>0.13863447800000001</v>
      </c>
      <c r="C70">
        <v>4.2726105E-2</v>
      </c>
      <c r="D70">
        <v>3.7620999999999998E-4</v>
      </c>
      <c r="E70">
        <v>1</v>
      </c>
      <c r="F70" s="13"/>
      <c r="G70" t="s">
        <v>153</v>
      </c>
      <c r="H70" t="str">
        <f>VLOOKUP(G70,Covid_Pasc_result!A:B,2,0)</f>
        <v>Arachidonic acid met</v>
      </c>
      <c r="I70">
        <v>0.28809154633333334</v>
      </c>
      <c r="J70">
        <v>0.10805922900000001</v>
      </c>
      <c r="K70">
        <v>2.1527389999999999E-3</v>
      </c>
      <c r="L70">
        <v>9</v>
      </c>
    </row>
    <row r="71" spans="1:12">
      <c r="A71" s="11" t="s">
        <v>188</v>
      </c>
      <c r="B71">
        <v>0.22680333499999999</v>
      </c>
      <c r="C71">
        <v>0.25378521500000001</v>
      </c>
      <c r="D71">
        <v>1.8988194999999999E-2</v>
      </c>
      <c r="E71">
        <v>2</v>
      </c>
      <c r="F71" s="13"/>
      <c r="G71" t="s">
        <v>144</v>
      </c>
      <c r="H71" t="str">
        <f>VLOOKUP(G71,Covid_Pasc_result!A:B,2,0)</f>
        <v>Biosynthesis of vari</v>
      </c>
      <c r="I71">
        <v>0.28375825399999999</v>
      </c>
      <c r="J71">
        <v>0.22281664500000001</v>
      </c>
      <c r="K71">
        <v>1.2265534999999999E-2</v>
      </c>
      <c r="L71">
        <v>2</v>
      </c>
    </row>
    <row r="72" spans="1:12">
      <c r="A72" s="11" t="s">
        <v>12</v>
      </c>
      <c r="B72">
        <v>0.86978678899999995</v>
      </c>
      <c r="C72">
        <v>0.13665022499999999</v>
      </c>
      <c r="D72">
        <v>4.144722E-3</v>
      </c>
      <c r="E72">
        <v>2</v>
      </c>
      <c r="F72" s="13"/>
      <c r="G72" t="s">
        <v>111</v>
      </c>
      <c r="H72" t="str">
        <f>VLOOKUP(G72,Covid_Pasc_result!A:B,2,0)</f>
        <v>Lysine degradation</v>
      </c>
      <c r="I72">
        <v>0.28374733799999996</v>
      </c>
      <c r="J72">
        <v>4.2726105E-2</v>
      </c>
      <c r="K72">
        <v>3.27845E-4</v>
      </c>
      <c r="L72">
        <v>4</v>
      </c>
    </row>
    <row r="73" spans="1:12">
      <c r="A73" s="11" t="s">
        <v>189</v>
      </c>
      <c r="B73">
        <v>0.17981227725000001</v>
      </c>
      <c r="C73">
        <v>5.9701922999999997E-2</v>
      </c>
      <c r="D73">
        <v>8.2309600000000005E-4</v>
      </c>
      <c r="E73">
        <v>4</v>
      </c>
      <c r="F73" s="13"/>
      <c r="G73" t="s">
        <v>175</v>
      </c>
      <c r="H73" t="str">
        <f>VLOOKUP(G73,Covid_Pasc_result!A:B,2,0)</f>
        <v>Lipoic acid metaboli</v>
      </c>
      <c r="I73">
        <v>0.28130455666666671</v>
      </c>
      <c r="J73">
        <v>0.25818887899999998</v>
      </c>
      <c r="K73">
        <v>2.0453388999999999E-2</v>
      </c>
      <c r="L73">
        <v>3</v>
      </c>
    </row>
    <row r="74" spans="1:12">
      <c r="A74" s="11" t="s">
        <v>10</v>
      </c>
      <c r="B74">
        <v>0.93539177250000005</v>
      </c>
      <c r="C74">
        <v>0.146219191</v>
      </c>
      <c r="D74">
        <v>4.6647800000000003E-3</v>
      </c>
      <c r="E74">
        <v>2</v>
      </c>
      <c r="F74" s="13"/>
      <c r="G74" t="s">
        <v>190</v>
      </c>
      <c r="H74" t="str">
        <f>VLOOKUP(G74,Covid_Pasc_result!A:B,2,0)</f>
        <v>Thyroid hormone sign</v>
      </c>
      <c r="I74">
        <v>0.279722203</v>
      </c>
      <c r="J74">
        <v>0.31986945100000003</v>
      </c>
      <c r="K74">
        <v>3.7141703999999998E-2</v>
      </c>
      <c r="L74">
        <v>1</v>
      </c>
    </row>
    <row r="75" spans="1:12">
      <c r="A75" s="11" t="s">
        <v>191</v>
      </c>
      <c r="B75">
        <v>0.26158586833333336</v>
      </c>
      <c r="C75">
        <v>3.085734E-2</v>
      </c>
      <c r="D75">
        <v>1.04048E-4</v>
      </c>
      <c r="E75">
        <v>3</v>
      </c>
      <c r="F75" s="13"/>
      <c r="G75" t="s">
        <v>121</v>
      </c>
      <c r="H75" t="str">
        <f>VLOOKUP(G75,Covid_Pasc_result!A:B,2,0)</f>
        <v>β-Alanine metabolism</v>
      </c>
      <c r="I75">
        <v>0.279395046875</v>
      </c>
      <c r="J75">
        <v>6.2736833000000006E-2</v>
      </c>
      <c r="K75">
        <v>9.4182100000000002E-4</v>
      </c>
      <c r="L75">
        <v>8</v>
      </c>
    </row>
    <row r="76" spans="1:12">
      <c r="A76" s="11" t="s">
        <v>40</v>
      </c>
      <c r="B76">
        <v>0.61501374799999997</v>
      </c>
      <c r="C76">
        <v>0.165613279</v>
      </c>
      <c r="D76">
        <v>6.7990749999999999E-3</v>
      </c>
      <c r="E76">
        <v>1</v>
      </c>
      <c r="F76" s="13"/>
      <c r="G76" t="s">
        <v>94</v>
      </c>
      <c r="H76" t="str">
        <f>VLOOKUP(G76,Covid_Pasc_result!A:B,2,0)</f>
        <v>Pentose phosphate</v>
      </c>
      <c r="I76">
        <v>0.2762228538</v>
      </c>
      <c r="J76">
        <v>0.13200700900000001</v>
      </c>
      <c r="K76">
        <v>3.518569E-3</v>
      </c>
      <c r="L76">
        <v>10</v>
      </c>
    </row>
    <row r="77" spans="1:12">
      <c r="A77" s="11" t="s">
        <v>135</v>
      </c>
      <c r="B77">
        <v>0.47970207300000001</v>
      </c>
      <c r="C77">
        <v>0.307710339</v>
      </c>
      <c r="D77">
        <v>3.3938639999999999E-2</v>
      </c>
      <c r="E77">
        <v>1</v>
      </c>
      <c r="F77" s="13"/>
      <c r="G77" t="s">
        <v>126</v>
      </c>
      <c r="H77" t="str">
        <f>VLOOKUP(G77,Covid_Pasc_result!A:B,2,0)</f>
        <v>Glutathione metabolism</v>
      </c>
      <c r="I77">
        <v>0.27604435266666666</v>
      </c>
      <c r="J77">
        <v>9.9177479999999998E-2</v>
      </c>
      <c r="K77">
        <v>1.853501E-3</v>
      </c>
      <c r="L77">
        <v>3</v>
      </c>
    </row>
    <row r="78" spans="1:12">
      <c r="A78" s="11" t="s">
        <v>192</v>
      </c>
      <c r="B78">
        <v>0.12156550100000001</v>
      </c>
      <c r="C78">
        <v>0.30674497099999998</v>
      </c>
      <c r="D78">
        <v>3.1522834E-2</v>
      </c>
      <c r="E78">
        <v>1</v>
      </c>
      <c r="F78" s="13"/>
      <c r="G78" t="s">
        <v>193</v>
      </c>
      <c r="H78" t="str">
        <f>VLOOKUP(G78,Covid_Pasc_result!A:B,2,0)</f>
        <v>Influenza A</v>
      </c>
      <c r="I78">
        <v>0.27551957849999997</v>
      </c>
      <c r="J78">
        <v>0.146219191</v>
      </c>
      <c r="K78">
        <v>4.6704570000000003E-3</v>
      </c>
      <c r="L78">
        <v>2</v>
      </c>
    </row>
    <row r="79" spans="1:12">
      <c r="A79" s="11" t="s">
        <v>129</v>
      </c>
      <c r="B79">
        <v>0.49384190033333336</v>
      </c>
      <c r="C79">
        <v>0.165613279</v>
      </c>
      <c r="D79">
        <v>6.7990749999999999E-3</v>
      </c>
      <c r="E79">
        <v>6</v>
      </c>
      <c r="F79" s="13"/>
      <c r="G79" t="s">
        <v>170</v>
      </c>
      <c r="H79" t="str">
        <f>VLOOKUP(G79,Covid_Pasc_result!A:B,2,0)</f>
        <v>One carbon pool by f</v>
      </c>
      <c r="I79">
        <v>0.27245091633333335</v>
      </c>
      <c r="J79">
        <v>6.0923375000000002E-2</v>
      </c>
      <c r="K79">
        <v>8.6879700000000004E-4</v>
      </c>
      <c r="L79">
        <v>3</v>
      </c>
    </row>
    <row r="80" spans="1:12">
      <c r="A80" s="11" t="s">
        <v>143</v>
      </c>
      <c r="B80">
        <v>0.45923408338461547</v>
      </c>
      <c r="C80">
        <v>0.13219909699999999</v>
      </c>
      <c r="D80">
        <v>3.564191E-3</v>
      </c>
      <c r="E80">
        <v>13</v>
      </c>
      <c r="F80" s="13"/>
      <c r="G80" t="s">
        <v>95</v>
      </c>
      <c r="H80" t="str">
        <f>VLOOKUP(G80,Covid_Pasc_result!A:B,2,0)</f>
        <v>Fructose &amp; mannose</v>
      </c>
      <c r="I80">
        <v>0.27122965714285713</v>
      </c>
      <c r="J80">
        <v>0.13665022499999999</v>
      </c>
      <c r="K80">
        <v>4.043736E-3</v>
      </c>
      <c r="L80">
        <v>7</v>
      </c>
    </row>
    <row r="81" spans="1:12">
      <c r="A81" s="11" t="s">
        <v>18</v>
      </c>
      <c r="B81">
        <v>0.79774414930000015</v>
      </c>
      <c r="C81">
        <v>4.2726105E-2</v>
      </c>
      <c r="D81">
        <v>2.9557100000000001E-4</v>
      </c>
      <c r="E81">
        <v>10</v>
      </c>
      <c r="F81" s="13"/>
      <c r="G81" t="s">
        <v>183</v>
      </c>
      <c r="H81" t="str">
        <f>VLOOKUP(G81,Covid_Pasc_result!A:B,2,0)</f>
        <v>Drug metabolism</v>
      </c>
      <c r="I81">
        <v>0.26613913322222221</v>
      </c>
      <c r="J81">
        <v>1.7647493E-2</v>
      </c>
      <c r="K81">
        <v>4.8699999999999998E-5</v>
      </c>
      <c r="L81">
        <v>9</v>
      </c>
    </row>
    <row r="82" spans="1:12">
      <c r="A82" s="11" t="s">
        <v>116</v>
      </c>
      <c r="B82">
        <v>0.55212852559999992</v>
      </c>
      <c r="C82">
        <v>0.165613279</v>
      </c>
      <c r="D82">
        <v>6.3948850000000003E-3</v>
      </c>
      <c r="E82">
        <v>5</v>
      </c>
      <c r="F82" s="13"/>
      <c r="G82" t="s">
        <v>92</v>
      </c>
      <c r="H82" t="str">
        <f>VLOOKUP(G82,Covid_Pasc_result!A:B,2,0)</f>
        <v>Glycolysis</v>
      </c>
      <c r="I82">
        <v>0.264789632</v>
      </c>
      <c r="J82">
        <v>1.0191278999999999E-2</v>
      </c>
      <c r="K82">
        <v>9.3700000000000001E-6</v>
      </c>
      <c r="L82">
        <v>7</v>
      </c>
    </row>
    <row r="83" spans="1:12">
      <c r="A83" s="11" t="s">
        <v>114</v>
      </c>
      <c r="B83">
        <v>0.56720530000000002</v>
      </c>
      <c r="C83">
        <v>0.12681842700000001</v>
      </c>
      <c r="D83">
        <v>3.1082950000000001E-3</v>
      </c>
      <c r="E83">
        <v>1</v>
      </c>
      <c r="F83" s="13"/>
      <c r="G83" t="s">
        <v>191</v>
      </c>
      <c r="H83" t="str">
        <f>VLOOKUP(G83,Covid_Pasc_result!A:B,2,0)</f>
        <v>Renin–angiotensin sy</v>
      </c>
      <c r="I83">
        <v>0.26158586833333336</v>
      </c>
      <c r="J83">
        <v>3.085734E-2</v>
      </c>
      <c r="K83">
        <v>1.04048E-4</v>
      </c>
      <c r="L83">
        <v>3</v>
      </c>
    </row>
    <row r="84" spans="1:12">
      <c r="A84" s="11" t="s">
        <v>125</v>
      </c>
      <c r="B84">
        <v>0.50450133399999997</v>
      </c>
      <c r="C84">
        <v>0.29035814700000001</v>
      </c>
      <c r="D84">
        <v>2.6875401E-2</v>
      </c>
      <c r="E84">
        <v>1</v>
      </c>
      <c r="F84" s="13"/>
      <c r="G84" t="s">
        <v>194</v>
      </c>
      <c r="H84" t="str">
        <f>VLOOKUP(G84,Covid_Pasc_result!A:B,2,0)</f>
        <v>Insulin resistance g</v>
      </c>
      <c r="I84">
        <v>0.25288029400000001</v>
      </c>
      <c r="J84">
        <v>0.27767641399999998</v>
      </c>
      <c r="K84">
        <v>2.3252825000000001E-2</v>
      </c>
      <c r="L84">
        <v>1</v>
      </c>
    </row>
    <row r="85" spans="1:12">
      <c r="A85" s="11" t="s">
        <v>150</v>
      </c>
      <c r="B85">
        <v>0.39374381600000002</v>
      </c>
      <c r="C85">
        <v>0.35486563799999998</v>
      </c>
      <c r="D85">
        <v>4.9539550000000002E-2</v>
      </c>
      <c r="E85">
        <v>1</v>
      </c>
      <c r="G85" t="s">
        <v>156</v>
      </c>
      <c r="H85" t="str">
        <f>VLOOKUP(G85,Covid_Pasc_result!A:B,2,0)</f>
        <v>Sphingolipid metabol</v>
      </c>
      <c r="I85">
        <v>0.25115763557142856</v>
      </c>
      <c r="J85">
        <v>1.7647493E-2</v>
      </c>
      <c r="K85">
        <v>2.5999999999999998E-5</v>
      </c>
      <c r="L85">
        <v>14</v>
      </c>
    </row>
    <row r="86" spans="1:12">
      <c r="A86" s="11" t="s">
        <v>118</v>
      </c>
      <c r="B86">
        <v>0.55006137200000005</v>
      </c>
      <c r="C86">
        <v>0.25598808299999998</v>
      </c>
      <c r="D86">
        <v>1.9733180999999999E-2</v>
      </c>
      <c r="E86">
        <v>2</v>
      </c>
      <c r="G86" t="s">
        <v>151</v>
      </c>
      <c r="H86" t="str">
        <f>VLOOKUP(G86,Covid_Pasc_result!A:B,2,0)</f>
        <v>Ether lipid metaboli</v>
      </c>
      <c r="I86">
        <v>0.25087830999999999</v>
      </c>
      <c r="J86">
        <v>0.25378521500000001</v>
      </c>
      <c r="K86">
        <v>1.8552020999999998E-2</v>
      </c>
      <c r="L86">
        <v>2</v>
      </c>
    </row>
    <row r="87" spans="1:12">
      <c r="A87" s="11" t="s">
        <v>190</v>
      </c>
      <c r="B87">
        <v>0.279722203</v>
      </c>
      <c r="C87">
        <v>0.31986945100000003</v>
      </c>
      <c r="D87">
        <v>3.7141703999999998E-2</v>
      </c>
      <c r="E87">
        <v>1</v>
      </c>
      <c r="G87" t="s">
        <v>134</v>
      </c>
      <c r="H87" t="str">
        <f>VLOOKUP(G87,Covid_Pasc_result!A:B,2,0)</f>
        <v>Various types of N‑glycan</v>
      </c>
      <c r="I87">
        <v>0.24805627650000001</v>
      </c>
      <c r="J87">
        <v>4.2726105E-2</v>
      </c>
      <c r="K87">
        <v>4.05793E-4</v>
      </c>
      <c r="L87">
        <v>4</v>
      </c>
    </row>
    <row r="88" spans="1:12">
      <c r="A88" s="11" t="s">
        <v>157</v>
      </c>
      <c r="B88">
        <v>0.39054468850000001</v>
      </c>
      <c r="C88">
        <v>8.8743188000000001E-2</v>
      </c>
      <c r="D88">
        <v>1.5769320000000001E-3</v>
      </c>
      <c r="E88">
        <v>2</v>
      </c>
      <c r="G88" t="s">
        <v>195</v>
      </c>
      <c r="H88" t="str">
        <f>VLOOKUP(G88,Covid_Pasc_result!A:B,2,0)</f>
        <v>Hepatocellular carci</v>
      </c>
      <c r="I88">
        <v>0.24191686400000001</v>
      </c>
      <c r="J88">
        <v>4.2726105E-2</v>
      </c>
      <c r="K88">
        <v>3.7620999999999998E-4</v>
      </c>
      <c r="L88">
        <v>2</v>
      </c>
    </row>
    <row r="89" spans="1:12">
      <c r="A89" s="11" t="s">
        <v>179</v>
      </c>
      <c r="B89">
        <v>0.32830226699999998</v>
      </c>
      <c r="C89">
        <v>0.28878959799999998</v>
      </c>
      <c r="D89">
        <v>2.5286211999999999E-2</v>
      </c>
      <c r="E89">
        <v>1</v>
      </c>
      <c r="G89" t="s">
        <v>196</v>
      </c>
      <c r="H89" t="str">
        <f>VLOOKUP(G89,Covid_Pasc_result!A:B,2,0)</f>
        <v>Bladder cancer</v>
      </c>
      <c r="I89">
        <v>0.23929143950000001</v>
      </c>
      <c r="J89">
        <v>4.2726105E-2</v>
      </c>
      <c r="K89">
        <v>3.7620999999999998E-4</v>
      </c>
      <c r="L89">
        <v>2</v>
      </c>
    </row>
    <row r="90" spans="1:12">
      <c r="A90" s="11" t="s">
        <v>186</v>
      </c>
      <c r="B90">
        <v>0.294360383</v>
      </c>
      <c r="C90">
        <v>0.29035814700000001</v>
      </c>
      <c r="D90">
        <v>2.6825056999999999E-2</v>
      </c>
      <c r="E90">
        <v>1</v>
      </c>
      <c r="G90" t="s">
        <v>101</v>
      </c>
      <c r="H90" t="str">
        <f>VLOOKUP(G90,Covid_Pasc_result!A:B,2,0)</f>
        <v>Purine metabolism</v>
      </c>
      <c r="I90">
        <v>0.2381164362631579</v>
      </c>
      <c r="J90">
        <v>4.3259170999999999E-2</v>
      </c>
      <c r="K90">
        <v>4.2411E-4</v>
      </c>
      <c r="L90">
        <v>19</v>
      </c>
    </row>
    <row r="91" spans="1:12">
      <c r="A91" s="11" t="s">
        <v>194</v>
      </c>
      <c r="B91">
        <v>0.25288029400000001</v>
      </c>
      <c r="C91">
        <v>0.27767641399999998</v>
      </c>
      <c r="D91">
        <v>2.3252825000000001E-2</v>
      </c>
      <c r="E91">
        <v>1</v>
      </c>
      <c r="G91" t="s">
        <v>105</v>
      </c>
      <c r="H91" t="str">
        <f>VLOOKUP(G91,Covid_Pasc_result!A:B,2,0)</f>
        <v>Glycine, serine</v>
      </c>
      <c r="I91">
        <v>0.23616478399999999</v>
      </c>
      <c r="J91">
        <v>0.25378521500000001</v>
      </c>
      <c r="K91">
        <v>1.8813258999999999E-2</v>
      </c>
      <c r="L91">
        <v>1</v>
      </c>
    </row>
    <row r="92" spans="1:12">
      <c r="A92" s="11" t="s">
        <v>147</v>
      </c>
      <c r="B92">
        <v>0.42476698200000002</v>
      </c>
      <c r="C92">
        <v>0.22329868</v>
      </c>
      <c r="D92">
        <v>1.2927711E-2</v>
      </c>
      <c r="E92">
        <v>3</v>
      </c>
      <c r="G92" t="s">
        <v>185</v>
      </c>
      <c r="H92" t="str">
        <f>VLOOKUP(G92,Covid_Pasc_result!A:B,2,0)</f>
        <v>Phosphatidylinositol</v>
      </c>
      <c r="I92">
        <v>0.23546047576923076</v>
      </c>
      <c r="J92">
        <v>4.2726105E-2</v>
      </c>
      <c r="K92">
        <v>2.4192699999999999E-4</v>
      </c>
      <c r="L92">
        <v>13</v>
      </c>
    </row>
    <row r="93" spans="1:12">
      <c r="A93" s="11" t="s">
        <v>15</v>
      </c>
      <c r="B93">
        <v>0.84092322249999996</v>
      </c>
      <c r="C93">
        <v>1.7647493E-2</v>
      </c>
      <c r="D93">
        <v>3.6199999999999999E-5</v>
      </c>
      <c r="E93">
        <v>2</v>
      </c>
      <c r="G93" t="s">
        <v>188</v>
      </c>
      <c r="H93" t="str">
        <f>VLOOKUP(G93,Covid_Pasc_result!A:B,2,0)</f>
        <v>Hedgehog signaling p</v>
      </c>
      <c r="I93">
        <v>0.22680333499999999</v>
      </c>
      <c r="J93">
        <v>0.25378521500000001</v>
      </c>
      <c r="K93">
        <v>1.8988194999999999E-2</v>
      </c>
      <c r="L93">
        <v>2</v>
      </c>
    </row>
    <row r="94" spans="1:12">
      <c r="A94" s="11" t="s">
        <v>31</v>
      </c>
      <c r="B94">
        <v>0.65571487799999995</v>
      </c>
      <c r="C94">
        <v>0.27761394</v>
      </c>
      <c r="D94">
        <v>2.2964387999999999E-2</v>
      </c>
      <c r="E94">
        <v>1</v>
      </c>
      <c r="G94" t="s">
        <v>197</v>
      </c>
      <c r="H94" t="str">
        <f>VLOOKUP(G94,Covid_Pasc_result!A:B,2,0)</f>
        <v>Central carbon metab</v>
      </c>
      <c r="I94">
        <v>0.222451759</v>
      </c>
      <c r="J94">
        <v>0.25841858699999998</v>
      </c>
      <c r="K94">
        <v>2.0743159000000001E-2</v>
      </c>
      <c r="L94">
        <v>1</v>
      </c>
    </row>
    <row r="95" spans="1:12">
      <c r="A95" s="11" t="s">
        <v>110</v>
      </c>
      <c r="B95">
        <v>0.598652038</v>
      </c>
      <c r="C95">
        <v>0.25278369299999998</v>
      </c>
      <c r="D95">
        <v>1.8199805999999999E-2</v>
      </c>
      <c r="E95">
        <v>1</v>
      </c>
      <c r="G95" t="s">
        <v>180</v>
      </c>
      <c r="H95" t="str">
        <f>VLOOKUP(G95,Covid_Pasc_result!A:B,2,0)</f>
        <v>Sulfur metabolism</v>
      </c>
      <c r="I95">
        <v>0.22095123150000001</v>
      </c>
      <c r="J95">
        <v>0.25818887899999998</v>
      </c>
      <c r="K95">
        <v>2.0519102000000001E-2</v>
      </c>
      <c r="L95">
        <v>2</v>
      </c>
    </row>
    <row r="96" spans="1:12">
      <c r="A96" s="11" t="s">
        <v>198</v>
      </c>
      <c r="B96">
        <v>6.7636505999999999E-2</v>
      </c>
      <c r="C96">
        <v>0.34012037499999997</v>
      </c>
      <c r="D96">
        <v>4.5162342000000001E-2</v>
      </c>
      <c r="E96">
        <v>1</v>
      </c>
      <c r="G96" t="s">
        <v>199</v>
      </c>
      <c r="H96" t="str">
        <f>VLOOKUP(G96,Covid_Pasc_result!A:B,2,0)</f>
        <v>Human papillomavirus</v>
      </c>
      <c r="I96">
        <v>0.216005431</v>
      </c>
      <c r="J96">
        <v>0.34012037499999997</v>
      </c>
      <c r="K96">
        <v>4.5257788E-2</v>
      </c>
      <c r="L96">
        <v>1</v>
      </c>
    </row>
    <row r="97" spans="1:12">
      <c r="A97" s="11" t="s">
        <v>200</v>
      </c>
      <c r="B97">
        <v>0.16146231799999999</v>
      </c>
      <c r="C97">
        <v>0.35486563799999998</v>
      </c>
      <c r="D97">
        <v>4.9794259E-2</v>
      </c>
      <c r="E97">
        <v>1</v>
      </c>
      <c r="G97" t="s">
        <v>201</v>
      </c>
      <c r="H97" t="str">
        <f>VLOOKUP(G97,Covid_Pasc_result!A:B,2,0)</f>
        <v>Choline metabolism i</v>
      </c>
      <c r="I97">
        <v>0.214890786</v>
      </c>
      <c r="J97">
        <v>0.208057667</v>
      </c>
      <c r="K97">
        <v>1.0467751000000001E-2</v>
      </c>
      <c r="L97">
        <v>1</v>
      </c>
    </row>
    <row r="98" spans="1:12">
      <c r="A98" s="11" t="s">
        <v>112</v>
      </c>
      <c r="B98">
        <v>0.598652038</v>
      </c>
      <c r="C98">
        <v>0.25278369299999998</v>
      </c>
      <c r="D98">
        <v>1.8199805999999999E-2</v>
      </c>
      <c r="E98">
        <v>1</v>
      </c>
      <c r="G98" t="s">
        <v>119</v>
      </c>
      <c r="H98" t="str">
        <f>VLOOKUP(G98,Covid_Pasc_result!A:B,2,0)</f>
        <v>Tryptophan metabolism</v>
      </c>
      <c r="I98">
        <v>0.21383007199999998</v>
      </c>
      <c r="J98">
        <v>0.22977756199999999</v>
      </c>
      <c r="K98">
        <v>1.4191738000000001E-2</v>
      </c>
      <c r="L98">
        <v>2</v>
      </c>
    </row>
    <row r="99" spans="1:12">
      <c r="A99" s="11" t="s">
        <v>106</v>
      </c>
      <c r="B99">
        <v>0.61501374799999997</v>
      </c>
      <c r="C99">
        <v>0.165613279</v>
      </c>
      <c r="D99">
        <v>6.7990749999999999E-3</v>
      </c>
      <c r="E99">
        <v>1</v>
      </c>
      <c r="G99" t="s">
        <v>166</v>
      </c>
      <c r="H99" t="str">
        <f>VLOOKUP(G99,Covid_Pasc_result!A:B,2,0)</f>
        <v>Propanoate metabolis</v>
      </c>
      <c r="I99">
        <v>0.21379698611111109</v>
      </c>
      <c r="J99">
        <v>5.4778607999999999E-2</v>
      </c>
      <c r="K99">
        <v>7.0476399999999998E-4</v>
      </c>
      <c r="L99">
        <v>9</v>
      </c>
    </row>
    <row r="100" spans="1:12">
      <c r="A100" s="11" t="s">
        <v>159</v>
      </c>
      <c r="B100">
        <v>0.37682411299999996</v>
      </c>
      <c r="C100">
        <v>4.2726105E-2</v>
      </c>
      <c r="D100">
        <v>3.7620999999999998E-4</v>
      </c>
      <c r="E100">
        <v>2</v>
      </c>
      <c r="G100" t="s">
        <v>97</v>
      </c>
      <c r="H100" t="str">
        <f>VLOOKUP(G100,Covid_Pasc_result!A:B,2,0)</f>
        <v>Fatty acid biosynthesis</v>
      </c>
      <c r="I100">
        <v>0.21065720685714284</v>
      </c>
      <c r="J100">
        <v>0.208057667</v>
      </c>
      <c r="K100">
        <v>1.0596431E-2</v>
      </c>
      <c r="L100">
        <v>7</v>
      </c>
    </row>
    <row r="101" spans="1:12">
      <c r="A101" s="11" t="s">
        <v>27</v>
      </c>
      <c r="B101">
        <v>0.67369474566666654</v>
      </c>
      <c r="C101">
        <v>0.165613279</v>
      </c>
      <c r="D101">
        <v>6.3948850000000003E-3</v>
      </c>
      <c r="E101">
        <v>3</v>
      </c>
      <c r="G101" t="s">
        <v>98</v>
      </c>
      <c r="H101" t="str">
        <f>VLOOKUP(G101,Covid_Pasc_result!A:B,2,0)</f>
        <v>Fatty acid elongation</v>
      </c>
      <c r="I101">
        <v>0.21003270949999997</v>
      </c>
      <c r="J101">
        <v>0.165613279</v>
      </c>
      <c r="K101">
        <v>6.1355489999999997E-3</v>
      </c>
      <c r="L101">
        <v>4</v>
      </c>
    </row>
    <row r="102" spans="1:12">
      <c r="A102" s="11" t="s">
        <v>202</v>
      </c>
      <c r="B102">
        <v>9.5922788999999994E-2</v>
      </c>
      <c r="C102">
        <v>8.9785799999999999E-2</v>
      </c>
      <c r="D102">
        <v>1.622966E-3</v>
      </c>
      <c r="E102">
        <v>1</v>
      </c>
      <c r="G102" t="s">
        <v>168</v>
      </c>
      <c r="H102" t="str">
        <f>VLOOKUP(G102,Covid_Pasc_result!A:B,2,0)</f>
        <v>Butanoate metabolism</v>
      </c>
      <c r="I102">
        <v>0.202632811</v>
      </c>
      <c r="J102">
        <v>0.16427719299999999</v>
      </c>
      <c r="K102">
        <v>5.7879530000000002E-3</v>
      </c>
      <c r="L102">
        <v>3</v>
      </c>
    </row>
    <row r="103" spans="1:12">
      <c r="A103" s="11" t="s">
        <v>108</v>
      </c>
      <c r="B103">
        <v>0.61501374799999997</v>
      </c>
      <c r="C103">
        <v>0.165613279</v>
      </c>
      <c r="D103">
        <v>6.7990749999999999E-3</v>
      </c>
      <c r="E103">
        <v>1</v>
      </c>
      <c r="G103" t="s">
        <v>138</v>
      </c>
      <c r="H103" t="str">
        <f>VLOOKUP(G103,Covid_Pasc_result!A:B,2,0)</f>
        <v>Amino sugar and nucleotide</v>
      </c>
      <c r="I103">
        <v>0.20122241266666671</v>
      </c>
      <c r="J103">
        <v>4.2726105E-2</v>
      </c>
      <c r="K103">
        <v>3.8237500000000001E-4</v>
      </c>
      <c r="L103">
        <v>6</v>
      </c>
    </row>
    <row r="104" spans="1:12">
      <c r="A104" s="11" t="s">
        <v>203</v>
      </c>
      <c r="B104">
        <v>0.14933653199999999</v>
      </c>
      <c r="C104">
        <v>0.33670686100000002</v>
      </c>
      <c r="D104">
        <v>4.2088357999999999E-2</v>
      </c>
      <c r="E104">
        <v>2</v>
      </c>
      <c r="G104" t="s">
        <v>123</v>
      </c>
      <c r="H104" t="str">
        <f>VLOOKUP(G104,Covid_Pasc_result!A:B,2,0)</f>
        <v>Phosphonate and metabolism</v>
      </c>
      <c r="I104">
        <v>0.19886269100000001</v>
      </c>
      <c r="J104">
        <v>0.13074894000000001</v>
      </c>
      <c r="K104">
        <v>3.3648620000000001E-3</v>
      </c>
      <c r="L104">
        <v>1</v>
      </c>
    </row>
    <row r="105" spans="1:12">
      <c r="A105" s="11" t="s">
        <v>139</v>
      </c>
      <c r="B105">
        <v>0.46346804850000001</v>
      </c>
      <c r="C105">
        <v>0.33523462199999998</v>
      </c>
      <c r="D105">
        <v>4.1675757000000001E-2</v>
      </c>
      <c r="E105">
        <v>2</v>
      </c>
      <c r="G105" t="s">
        <v>148</v>
      </c>
      <c r="H105" t="str">
        <f>VLOOKUP(G105,Covid_Pasc_result!A:B,2,0)</f>
        <v>Inositol phosphate m</v>
      </c>
      <c r="I105">
        <v>0.19583394800000001</v>
      </c>
      <c r="J105">
        <v>0.20084521599999999</v>
      </c>
      <c r="K105">
        <v>9.5517610000000006E-3</v>
      </c>
      <c r="L105">
        <v>7</v>
      </c>
    </row>
    <row r="106" spans="1:12">
      <c r="A106" s="11" t="s">
        <v>36</v>
      </c>
      <c r="B106">
        <v>0.51350252550000008</v>
      </c>
      <c r="C106">
        <v>0.143406546</v>
      </c>
      <c r="D106">
        <v>4.437519E-3</v>
      </c>
      <c r="E106">
        <v>4</v>
      </c>
      <c r="G106" t="s">
        <v>100</v>
      </c>
      <c r="H106" t="str">
        <f>VLOOKUP(G106,Covid_Pasc_result!A:B,2,0)</f>
        <v>Primary bile acid</v>
      </c>
      <c r="I106">
        <v>0.19390116700000001</v>
      </c>
      <c r="J106">
        <v>0.13665022499999999</v>
      </c>
      <c r="K106">
        <v>3.9977540000000001E-3</v>
      </c>
      <c r="L106">
        <v>1</v>
      </c>
    </row>
    <row r="107" spans="1:12">
      <c r="A107" s="11" t="s">
        <v>39</v>
      </c>
      <c r="B107">
        <v>0.36925875499999999</v>
      </c>
      <c r="C107">
        <v>0.22562390399999999</v>
      </c>
      <c r="D107">
        <v>1.3686744000000001E-2</v>
      </c>
      <c r="E107">
        <v>2</v>
      </c>
      <c r="G107" t="s">
        <v>113</v>
      </c>
      <c r="H107" t="str">
        <f>VLOOKUP(G107,Covid_Pasc_result!A:B,2,0)</f>
        <v>Arginine and proline</v>
      </c>
      <c r="I107">
        <v>0.18922041179999999</v>
      </c>
      <c r="J107">
        <v>0.229429731</v>
      </c>
      <c r="K107">
        <v>1.3987902999999999E-2</v>
      </c>
      <c r="L107">
        <v>5</v>
      </c>
    </row>
    <row r="108" spans="1:12">
      <c r="A108" s="11" t="s">
        <v>7</v>
      </c>
      <c r="B108">
        <v>1.1132377794999999</v>
      </c>
      <c r="C108">
        <v>0.146219191</v>
      </c>
      <c r="D108">
        <v>4.6647800000000003E-3</v>
      </c>
      <c r="E108">
        <v>2</v>
      </c>
      <c r="G108" t="s">
        <v>132</v>
      </c>
      <c r="H108" t="str">
        <f>VLOOKUP(G108,Covid_Pasc_result!A:B,2,0)</f>
        <v xml:space="preserve">Mucin‑type O‑glycan </v>
      </c>
      <c r="I108">
        <v>0.18871440449999999</v>
      </c>
      <c r="J108">
        <v>0.33945918000000003</v>
      </c>
      <c r="K108">
        <v>4.3131685000000003E-2</v>
      </c>
      <c r="L108">
        <v>2</v>
      </c>
    </row>
    <row r="109" spans="1:12">
      <c r="A109" s="11" t="s">
        <v>193</v>
      </c>
      <c r="B109">
        <v>0.27551957849999997</v>
      </c>
      <c r="C109">
        <v>0.146219191</v>
      </c>
      <c r="D109">
        <v>4.6704570000000003E-3</v>
      </c>
      <c r="E109">
        <v>2</v>
      </c>
      <c r="G109" t="s">
        <v>189</v>
      </c>
      <c r="H109" t="str">
        <f>VLOOKUP(G109,Covid_Pasc_result!A:B,2,0)</f>
        <v>Osteoclast different</v>
      </c>
      <c r="I109">
        <v>0.17981227725000001</v>
      </c>
      <c r="J109">
        <v>5.9701922999999997E-2</v>
      </c>
      <c r="K109">
        <v>8.2309600000000005E-4</v>
      </c>
      <c r="L109">
        <v>4</v>
      </c>
    </row>
    <row r="110" spans="1:12">
      <c r="A110" s="11" t="s">
        <v>199</v>
      </c>
      <c r="B110">
        <v>0.216005431</v>
      </c>
      <c r="C110">
        <v>0.34012037499999997</v>
      </c>
      <c r="D110">
        <v>4.5257788E-2</v>
      </c>
      <c r="E110">
        <v>1</v>
      </c>
      <c r="G110" t="s">
        <v>162</v>
      </c>
      <c r="H110" t="str">
        <f>VLOOKUP(G110,Covid_Pasc_result!A:B,2,0)</f>
        <v>Glycosphingolipid bi</v>
      </c>
      <c r="I110">
        <v>0.17901044050000001</v>
      </c>
      <c r="J110">
        <v>0.29035814700000001</v>
      </c>
      <c r="K110">
        <v>2.7209127999999999E-2</v>
      </c>
      <c r="L110">
        <v>2</v>
      </c>
    </row>
    <row r="111" spans="1:12">
      <c r="A111" s="11" t="s">
        <v>161</v>
      </c>
      <c r="B111">
        <v>0.37655445099999996</v>
      </c>
      <c r="C111">
        <v>0.21148530900000001</v>
      </c>
      <c r="D111">
        <v>1.1079653E-2</v>
      </c>
      <c r="E111">
        <v>2</v>
      </c>
      <c r="G111" t="s">
        <v>99</v>
      </c>
      <c r="H111" t="str">
        <f>VLOOKUP(G111,Covid_Pasc_result!A:B,2,0)</f>
        <v>Fatty acid degradation</v>
      </c>
      <c r="I111">
        <v>0.17869012966666667</v>
      </c>
      <c r="J111">
        <v>0.23084941</v>
      </c>
      <c r="K111">
        <v>1.5276799000000001E-2</v>
      </c>
      <c r="L111">
        <v>3</v>
      </c>
    </row>
    <row r="112" spans="1:12">
      <c r="A112" s="11" t="s">
        <v>155</v>
      </c>
      <c r="B112">
        <v>0.39164711899999999</v>
      </c>
      <c r="C112">
        <v>4.2726105E-2</v>
      </c>
      <c r="D112">
        <v>3.7620999999999998E-4</v>
      </c>
      <c r="E112">
        <v>3</v>
      </c>
      <c r="G112" t="s">
        <v>184</v>
      </c>
      <c r="H112" t="str">
        <f>VLOOKUP(G112,Covid_Pasc_result!A:B,2,0)</f>
        <v>HIF‑1 signaling path</v>
      </c>
      <c r="I112">
        <v>0.17845883900000001</v>
      </c>
      <c r="J112">
        <v>4.2726105E-2</v>
      </c>
      <c r="K112">
        <v>2.9557100000000001E-4</v>
      </c>
      <c r="L112">
        <v>1</v>
      </c>
    </row>
    <row r="113" spans="1:12">
      <c r="A113" s="11" t="s">
        <v>163</v>
      </c>
      <c r="B113">
        <v>0.36992702850000003</v>
      </c>
      <c r="C113">
        <v>0.30674497099999998</v>
      </c>
      <c r="D113">
        <v>3.2107895999999997E-2</v>
      </c>
      <c r="E113">
        <v>2</v>
      </c>
      <c r="G113" t="s">
        <v>200</v>
      </c>
      <c r="H113" t="str">
        <f>VLOOKUP(G113,Covid_Pasc_result!A:B,2,0)</f>
        <v>Parkinson disease ge</v>
      </c>
      <c r="I113">
        <v>0.16146231799999999</v>
      </c>
      <c r="J113">
        <v>0.35486563799999998</v>
      </c>
      <c r="K113">
        <v>4.9794259E-2</v>
      </c>
      <c r="L113">
        <v>1</v>
      </c>
    </row>
    <row r="114" spans="1:12">
      <c r="A114" s="11" t="s">
        <v>122</v>
      </c>
      <c r="B114">
        <v>0.53443940199999995</v>
      </c>
      <c r="C114">
        <v>0.131733196</v>
      </c>
      <c r="D114">
        <v>3.4709110000000001E-3</v>
      </c>
      <c r="E114">
        <v>1</v>
      </c>
      <c r="G114" t="s">
        <v>124</v>
      </c>
      <c r="H114" t="str">
        <f>VLOOKUP(G114,Covid_Pasc_result!A:B,2,0)</f>
        <v>Selenocompound metabolism</v>
      </c>
      <c r="I114">
        <v>0.16034683733333333</v>
      </c>
      <c r="J114">
        <v>9.0457209999999996E-2</v>
      </c>
      <c r="K114">
        <v>1.6628159999999999E-3</v>
      </c>
      <c r="L114">
        <v>3</v>
      </c>
    </row>
    <row r="115" spans="1:12">
      <c r="A115" s="11" t="s">
        <v>169</v>
      </c>
      <c r="B115">
        <v>0.35728734399999995</v>
      </c>
      <c r="C115">
        <v>4.2726105E-2</v>
      </c>
      <c r="D115">
        <v>3.7620999999999998E-4</v>
      </c>
      <c r="E115">
        <v>10</v>
      </c>
      <c r="G115" t="s">
        <v>160</v>
      </c>
      <c r="H115" t="str">
        <f>VLOOKUP(G115,Covid_Pasc_result!A:B,2,0)</f>
        <v>Glycosphingolipid bi</v>
      </c>
      <c r="I115">
        <v>0.158934466</v>
      </c>
      <c r="J115">
        <v>0.165613279</v>
      </c>
      <c r="K115">
        <v>6.2797160000000003E-3</v>
      </c>
      <c r="L115">
        <v>1</v>
      </c>
    </row>
    <row r="116" spans="1:12">
      <c r="A116" s="11" t="s">
        <v>204</v>
      </c>
      <c r="B116">
        <v>0.1538349755</v>
      </c>
      <c r="C116">
        <v>0.208057667</v>
      </c>
      <c r="D116">
        <v>1.0652142E-2</v>
      </c>
      <c r="E116">
        <v>2</v>
      </c>
      <c r="G116" t="s">
        <v>204</v>
      </c>
      <c r="H116" t="str">
        <f>VLOOKUP(G116,Covid_Pasc_result!A:B,2,0)</f>
        <v>Transcriptional misr</v>
      </c>
      <c r="I116">
        <v>0.1538349755</v>
      </c>
      <c r="J116">
        <v>0.208057667</v>
      </c>
      <c r="K116">
        <v>1.0652142E-2</v>
      </c>
      <c r="L116">
        <v>2</v>
      </c>
    </row>
    <row r="117" spans="1:12">
      <c r="A117" s="11" t="s">
        <v>176</v>
      </c>
      <c r="B117">
        <v>0.34519925000000001</v>
      </c>
      <c r="C117">
        <v>0.30674497099999998</v>
      </c>
      <c r="D117">
        <v>3.2696269E-2</v>
      </c>
      <c r="E117">
        <v>1</v>
      </c>
      <c r="G117" t="s">
        <v>203</v>
      </c>
      <c r="H117" t="str">
        <f>VLOOKUP(G117,Covid_Pasc_result!A:B,2,0)</f>
        <v>African trypanosomia</v>
      </c>
      <c r="I117">
        <v>0.14933653199999999</v>
      </c>
      <c r="J117">
        <v>0.33670686100000002</v>
      </c>
      <c r="K117">
        <v>4.2088357999999999E-2</v>
      </c>
      <c r="L117">
        <v>2</v>
      </c>
    </row>
    <row r="118" spans="1:12">
      <c r="A118" s="11" t="s">
        <v>196</v>
      </c>
      <c r="B118">
        <v>0.23929143950000001</v>
      </c>
      <c r="C118">
        <v>4.2726105E-2</v>
      </c>
      <c r="D118">
        <v>3.7620999999999998E-4</v>
      </c>
      <c r="E118">
        <v>2</v>
      </c>
      <c r="G118" t="s">
        <v>187</v>
      </c>
      <c r="H118" t="str">
        <f>VLOOKUP(G118,Covid_Pasc_result!A:B,2,0)</f>
        <v>Wnt signaling pathwa</v>
      </c>
      <c r="I118">
        <v>0.13863447800000001</v>
      </c>
      <c r="J118">
        <v>4.2726105E-2</v>
      </c>
      <c r="K118">
        <v>3.7620999999999998E-4</v>
      </c>
      <c r="L118">
        <v>1</v>
      </c>
    </row>
    <row r="119" spans="1:12">
      <c r="A119" s="11" t="s">
        <v>205</v>
      </c>
      <c r="B119">
        <v>0.13294787450000001</v>
      </c>
      <c r="C119">
        <v>0.165613279</v>
      </c>
      <c r="D119">
        <v>6.2911429999999999E-3</v>
      </c>
      <c r="E119">
        <v>2</v>
      </c>
      <c r="G119" t="s">
        <v>206</v>
      </c>
      <c r="H119" t="str">
        <f>VLOOKUP(G119,Covid_Pasc_result!A:B,2,0)</f>
        <v>Endometrial cancer</v>
      </c>
      <c r="I119">
        <v>0.13863447800000001</v>
      </c>
      <c r="J119">
        <v>4.2726105E-2</v>
      </c>
      <c r="K119">
        <v>3.7620999999999998E-4</v>
      </c>
      <c r="L119">
        <v>1</v>
      </c>
    </row>
    <row r="120" spans="1:12">
      <c r="A120" s="11" t="s">
        <v>206</v>
      </c>
      <c r="B120">
        <v>0.13863447800000001</v>
      </c>
      <c r="C120">
        <v>4.2726105E-2</v>
      </c>
      <c r="D120">
        <v>3.7620999999999998E-4</v>
      </c>
      <c r="E120">
        <v>1</v>
      </c>
      <c r="G120" t="s">
        <v>207</v>
      </c>
      <c r="H120" t="str">
        <f>VLOOKUP(G120,Covid_Pasc_result!A:B,2,0)</f>
        <v>Thyroid cancer – Hom</v>
      </c>
      <c r="I120">
        <v>0.13863447800000001</v>
      </c>
      <c r="J120">
        <v>4.2726105E-2</v>
      </c>
      <c r="K120">
        <v>3.7620999999999998E-4</v>
      </c>
      <c r="L120">
        <v>1</v>
      </c>
    </row>
    <row r="121" spans="1:12">
      <c r="A121" s="11" t="s">
        <v>141</v>
      </c>
      <c r="B121">
        <v>0.45986009</v>
      </c>
      <c r="C121">
        <v>0.34012037499999997</v>
      </c>
      <c r="D121">
        <v>4.5301385E-2</v>
      </c>
      <c r="E121">
        <v>1</v>
      </c>
      <c r="G121" t="s">
        <v>208</v>
      </c>
      <c r="H121" t="str">
        <f>VLOOKUP(G121,Covid_Pasc_result!A:B,2,0)</f>
        <v>Breast cancer – Homo</v>
      </c>
      <c r="I121">
        <v>0.13863447800000001</v>
      </c>
      <c r="J121">
        <v>4.2726105E-2</v>
      </c>
      <c r="K121">
        <v>3.7620999999999998E-4</v>
      </c>
      <c r="L121">
        <v>1</v>
      </c>
    </row>
    <row r="122" spans="1:12">
      <c r="A122" s="11" t="s">
        <v>207</v>
      </c>
      <c r="B122">
        <v>0.13863447800000001</v>
      </c>
      <c r="C122">
        <v>4.2726105E-2</v>
      </c>
      <c r="D122">
        <v>3.7620999999999998E-4</v>
      </c>
      <c r="E122">
        <v>1</v>
      </c>
      <c r="G122" t="s">
        <v>209</v>
      </c>
      <c r="H122" t="str">
        <f>VLOOKUP(G122,Covid_Pasc_result!A:B,2,0)</f>
        <v>Gastric cancer – Hom</v>
      </c>
      <c r="I122">
        <v>0.13863447800000001</v>
      </c>
      <c r="J122">
        <v>4.2726105E-2</v>
      </c>
      <c r="K122">
        <v>3.7620999999999998E-4</v>
      </c>
      <c r="L122">
        <v>1</v>
      </c>
    </row>
    <row r="123" spans="1:12">
      <c r="A123" s="11" t="s">
        <v>19</v>
      </c>
      <c r="B123">
        <v>0.78634624799999997</v>
      </c>
      <c r="C123">
        <v>0.25598808299999998</v>
      </c>
      <c r="D123">
        <v>1.9733180999999999E-2</v>
      </c>
      <c r="E123">
        <v>1</v>
      </c>
      <c r="G123" t="s">
        <v>140</v>
      </c>
      <c r="H123" t="str">
        <f>VLOOKUP(G123,Covid_Pasc_result!A:B,2,0)</f>
        <v>Glycosaminoglycan degradation</v>
      </c>
      <c r="I123">
        <v>0.13451244449999999</v>
      </c>
      <c r="J123">
        <v>0.30674497099999998</v>
      </c>
      <c r="K123">
        <v>3.1233978999999999E-2</v>
      </c>
      <c r="L123">
        <v>2</v>
      </c>
    </row>
    <row r="124" spans="1:12">
      <c r="A124" s="11" t="s">
        <v>208</v>
      </c>
      <c r="B124">
        <v>0.13863447800000001</v>
      </c>
      <c r="C124">
        <v>4.2726105E-2</v>
      </c>
      <c r="D124">
        <v>3.7620999999999998E-4</v>
      </c>
      <c r="E124">
        <v>1</v>
      </c>
      <c r="G124" t="s">
        <v>205</v>
      </c>
      <c r="H124" t="str">
        <f>VLOOKUP(G124,Covid_Pasc_result!A:B,2,0)</f>
        <v>Renal cell carcinoma</v>
      </c>
      <c r="I124">
        <v>0.13294787450000001</v>
      </c>
      <c r="J124">
        <v>0.165613279</v>
      </c>
      <c r="K124">
        <v>6.2911429999999999E-3</v>
      </c>
      <c r="L124">
        <v>2</v>
      </c>
    </row>
    <row r="125" spans="1:12">
      <c r="A125" s="11" t="s">
        <v>195</v>
      </c>
      <c r="B125">
        <v>0.24191686400000001</v>
      </c>
      <c r="C125">
        <v>4.2726105E-2</v>
      </c>
      <c r="D125">
        <v>3.7620999999999998E-4</v>
      </c>
      <c r="E125">
        <v>2</v>
      </c>
      <c r="G125" t="s">
        <v>96</v>
      </c>
      <c r="H125" t="str">
        <f>VLOOKUP(G125,Covid_Pasc_result!A:B,2,0)</f>
        <v>Galactose metabolism</v>
      </c>
      <c r="I125">
        <v>0.126859202</v>
      </c>
      <c r="J125">
        <v>5.6170425000000003E-2</v>
      </c>
      <c r="K125">
        <v>7.5719899999999996E-4</v>
      </c>
      <c r="L125">
        <v>2</v>
      </c>
    </row>
    <row r="126" spans="1:12">
      <c r="A126" s="11" t="s">
        <v>209</v>
      </c>
      <c r="B126">
        <v>0.13863447800000001</v>
      </c>
      <c r="C126">
        <v>4.2726105E-2</v>
      </c>
      <c r="D126">
        <v>3.7620999999999998E-4</v>
      </c>
      <c r="E126">
        <v>1</v>
      </c>
      <c r="G126" t="s">
        <v>192</v>
      </c>
      <c r="H126" t="str">
        <f>VLOOKUP(G126,Covid_Pasc_result!A:B,2,0)</f>
        <v xml:space="preserve">Natural killer cell </v>
      </c>
      <c r="I126">
        <v>0.12156550100000001</v>
      </c>
      <c r="J126">
        <v>0.30674497099999998</v>
      </c>
      <c r="K126">
        <v>3.1522834E-2</v>
      </c>
      <c r="L126">
        <v>1</v>
      </c>
    </row>
    <row r="127" spans="1:12">
      <c r="A127" s="11" t="s">
        <v>197</v>
      </c>
      <c r="B127">
        <v>0.222451759</v>
      </c>
      <c r="C127">
        <v>0.25841858699999998</v>
      </c>
      <c r="D127">
        <v>2.0743159000000001E-2</v>
      </c>
      <c r="E127">
        <v>1</v>
      </c>
      <c r="G127" t="s">
        <v>115</v>
      </c>
      <c r="H127" t="str">
        <f>VLOOKUP(G127,Covid_Pasc_result!A:B,2,0)</f>
        <v>Tyrosine metabolism</v>
      </c>
      <c r="I127">
        <v>0.10901297</v>
      </c>
      <c r="J127">
        <v>0.35486563799999998</v>
      </c>
      <c r="K127">
        <v>4.9775052E-2</v>
      </c>
      <c r="L127">
        <v>1</v>
      </c>
    </row>
    <row r="128" spans="1:12">
      <c r="A128" s="11" t="s">
        <v>201</v>
      </c>
      <c r="B128">
        <v>0.214890786</v>
      </c>
      <c r="C128">
        <v>0.208057667</v>
      </c>
      <c r="D128">
        <v>1.0467751000000001E-2</v>
      </c>
      <c r="E128">
        <v>1</v>
      </c>
      <c r="G128" t="s">
        <v>117</v>
      </c>
      <c r="H128" t="str">
        <f>VLOOKUP(G128,Covid_Pasc_result!A:B,2,0)</f>
        <v>Phenylalanine metabolism</v>
      </c>
      <c r="I128">
        <v>0.10901297</v>
      </c>
      <c r="J128">
        <v>0.35486563799999998</v>
      </c>
      <c r="K128">
        <v>4.9775052E-2</v>
      </c>
      <c r="L128">
        <v>1</v>
      </c>
    </row>
    <row r="129" spans="1:12">
      <c r="A129" s="11" t="s">
        <v>21</v>
      </c>
      <c r="B129">
        <v>0.68550753499999995</v>
      </c>
      <c r="C129">
        <v>7.1189126000000005E-2</v>
      </c>
      <c r="D129">
        <v>1.1559509999999999E-3</v>
      </c>
      <c r="E129">
        <v>2</v>
      </c>
      <c r="G129" t="s">
        <v>202</v>
      </c>
      <c r="H129" t="str">
        <f>VLOOKUP(G129,Covid_Pasc_result!A:B,2,0)</f>
        <v>Leishmaniasis</v>
      </c>
      <c r="I129">
        <v>9.5922788999999994E-2</v>
      </c>
      <c r="J129">
        <v>8.9785799999999999E-2</v>
      </c>
      <c r="K129">
        <v>1.622966E-3</v>
      </c>
      <c r="L129">
        <v>1</v>
      </c>
    </row>
    <row r="130" spans="1:12">
      <c r="A130" s="11" t="s">
        <v>120</v>
      </c>
      <c r="B130">
        <v>0.54697554599999998</v>
      </c>
      <c r="C130">
        <v>0.208057667</v>
      </c>
      <c r="D130">
        <v>1.0570994E-2</v>
      </c>
      <c r="E130">
        <v>5</v>
      </c>
      <c r="G130" t="s">
        <v>128</v>
      </c>
      <c r="H130" t="str">
        <f>VLOOKUP(G130,Covid_Pasc_result!A:B,2,0)</f>
        <v>Starch and sucrose</v>
      </c>
      <c r="I130">
        <v>9.3883649E-2</v>
      </c>
      <c r="J130">
        <v>0.165613279</v>
      </c>
      <c r="K130">
        <v>6.3583010000000002E-3</v>
      </c>
      <c r="L130">
        <v>1</v>
      </c>
    </row>
    <row r="131" spans="1:12">
      <c r="A131" s="11" t="s">
        <v>133</v>
      </c>
      <c r="B131">
        <v>0.47994236600000001</v>
      </c>
      <c r="C131">
        <v>0.13665022499999999</v>
      </c>
      <c r="D131">
        <v>4.0307140000000003E-3</v>
      </c>
      <c r="E131">
        <v>2</v>
      </c>
      <c r="G131" t="s">
        <v>198</v>
      </c>
      <c r="H131" t="str">
        <f>VLOOKUP(G131,Covid_Pasc_result!A:B,2,0)</f>
        <v>Aldosterone‑regulate</v>
      </c>
      <c r="I131">
        <v>6.7636505999999999E-2</v>
      </c>
      <c r="J131">
        <v>0.34012037499999997</v>
      </c>
      <c r="K131">
        <v>4.5162342000000001E-2</v>
      </c>
      <c r="L131">
        <v>1</v>
      </c>
    </row>
    <row r="132" spans="1:12">
      <c r="A132" s="11" t="s">
        <v>131</v>
      </c>
      <c r="B132">
        <v>0.48052753319999997</v>
      </c>
      <c r="C132">
        <v>0.165613279</v>
      </c>
      <c r="D132">
        <v>6.7990749999999999E-3</v>
      </c>
      <c r="E132">
        <v>5</v>
      </c>
      <c r="G132" t="s">
        <v>154</v>
      </c>
      <c r="H132" t="str">
        <f>VLOOKUP(G132,Covid_Pasc_result!A:B,2,0)</f>
        <v>Linoleic acid metabo</v>
      </c>
      <c r="I132">
        <v>2.6880125000000001E-2</v>
      </c>
      <c r="J132">
        <v>0.33523462199999998</v>
      </c>
      <c r="K132">
        <v>4.1686663999999998E-2</v>
      </c>
      <c r="L132">
        <v>1</v>
      </c>
    </row>
    <row r="133" spans="1:12">
      <c r="A133" s="11" t="s">
        <v>41</v>
      </c>
      <c r="B133">
        <v>0.39179304016666666</v>
      </c>
      <c r="C133">
        <v>5.4778607999999999E-2</v>
      </c>
      <c r="D133">
        <v>6.8507300000000002E-4</v>
      </c>
      <c r="E133">
        <v>6</v>
      </c>
      <c r="G133" t="s">
        <v>174</v>
      </c>
      <c r="H133" t="str">
        <f>VLOOKUP(G133,Covid_Pasc_result!A:B,2,0)</f>
        <v>Pantothenate and CoA</v>
      </c>
      <c r="I133">
        <v>1.55567E-17</v>
      </c>
      <c r="J133">
        <v>0.24010305500000001</v>
      </c>
      <c r="K133">
        <v>1.6256977999999998E-2</v>
      </c>
      <c r="L133">
        <v>1</v>
      </c>
    </row>
    <row r="134" spans="1:12">
      <c r="A134" s="11" t="s">
        <v>210</v>
      </c>
      <c r="B134">
        <v>0.33878445535152829</v>
      </c>
      <c r="C134">
        <v>1.5799999999999999E-6</v>
      </c>
      <c r="D134">
        <v>4.8499999999999998E-10</v>
      </c>
      <c r="E134">
        <v>458</v>
      </c>
    </row>
    <row r="461" spans="1:4" ht="15" thickBot="1"/>
    <row r="462" spans="1:4" ht="31.9" thickBot="1">
      <c r="A462" s="2" t="s">
        <v>1</v>
      </c>
      <c r="B462" s="2" t="s">
        <v>211</v>
      </c>
      <c r="C462" s="2" t="s">
        <v>212</v>
      </c>
      <c r="D462" s="2"/>
    </row>
    <row r="463" spans="1:4" ht="110.45" thickTop="1" thickBot="1">
      <c r="A463" s="3" t="s">
        <v>213</v>
      </c>
      <c r="B463" s="3" t="s">
        <v>214</v>
      </c>
      <c r="C463" s="4">
        <v>6.5241118929999997</v>
      </c>
      <c r="D463" s="4"/>
    </row>
    <row r="464" spans="1:4" ht="125.45" thickBot="1">
      <c r="A464" s="5" t="s">
        <v>215</v>
      </c>
      <c r="B464" s="5" t="s">
        <v>216</v>
      </c>
      <c r="C464" s="6">
        <v>6.6506630629999997</v>
      </c>
      <c r="D464" s="6"/>
    </row>
    <row r="465" spans="1:4" ht="94.15" thickBot="1">
      <c r="A465" s="7" t="s">
        <v>217</v>
      </c>
      <c r="B465" s="7" t="s">
        <v>218</v>
      </c>
      <c r="C465" s="8">
        <v>5.3000026140000003</v>
      </c>
      <c r="D465" s="8"/>
    </row>
    <row r="466" spans="1:4" ht="141" thickBot="1">
      <c r="A466" s="5" t="s">
        <v>219</v>
      </c>
      <c r="B466" s="5" t="s">
        <v>220</v>
      </c>
      <c r="C466" s="6">
        <v>3.2600494709999999</v>
      </c>
      <c r="D466" s="6"/>
    </row>
    <row r="467" spans="1:4" ht="109.9" thickBot="1">
      <c r="A467" s="7" t="s">
        <v>221</v>
      </c>
      <c r="B467" s="7" t="s">
        <v>222</v>
      </c>
      <c r="C467" s="8">
        <v>2.1975073300000001</v>
      </c>
      <c r="D467" s="8"/>
    </row>
  </sheetData>
  <autoFilter ref="G1:L134" xr:uid="{3792A7D9-07B7-4162-9C6A-B2E58A77FAEC}">
    <sortState xmlns:xlrd2="http://schemas.microsoft.com/office/spreadsheetml/2017/richdata2" ref="G2:L134">
      <sortCondition descending="1" ref="I1:I134"/>
    </sortState>
  </autoFilter>
  <conditionalFormatting sqref="C463:C467">
    <cfRule type="colorScale" priority="2">
      <colorScale>
        <cfvo type="min"/>
        <cfvo type="max"/>
        <color rgb="FFFCFCFF"/>
        <color rgb="FFF8696B"/>
      </colorScale>
    </cfRule>
  </conditionalFormatting>
  <conditionalFormatting sqref="D463:D46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{975E8595-603A-4F64-844B-636E1DA2BDD0}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5E8595-603A-4F64-844B-636E1DA2B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D463:D467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D733-FC42-4060-9204-A1AE61538D3C}">
  <dimension ref="A3:K129"/>
  <sheetViews>
    <sheetView topLeftCell="A3" workbookViewId="0">
      <selection activeCell="A3" sqref="A3"/>
    </sheetView>
  </sheetViews>
  <sheetFormatPr defaultRowHeight="14.45"/>
  <cols>
    <col min="1" max="1" width="12.42578125" bestFit="1" customWidth="1"/>
    <col min="2" max="2" width="18.140625" bestFit="1" customWidth="1"/>
    <col min="3" max="3" width="16.140625" bestFit="1" customWidth="1"/>
    <col min="4" max="4" width="12.5703125" bestFit="1" customWidth="1"/>
    <col min="5" max="5" width="16" bestFit="1" customWidth="1"/>
    <col min="7" max="7" width="10.28515625" bestFit="1" customWidth="1"/>
    <col min="8" max="8" width="14.42578125" bestFit="1" customWidth="1"/>
    <col min="9" max="9" width="15.7109375" bestFit="1" customWidth="1"/>
    <col min="10" max="10" width="12.42578125" bestFit="1" customWidth="1"/>
  </cols>
  <sheetData>
    <row r="3" spans="1:11">
      <c r="A3" s="10" t="s">
        <v>86</v>
      </c>
      <c r="B3" t="s">
        <v>87</v>
      </c>
      <c r="C3" t="s">
        <v>88</v>
      </c>
      <c r="D3" t="s">
        <v>89</v>
      </c>
      <c r="E3" t="s">
        <v>90</v>
      </c>
      <c r="G3" s="9" t="s">
        <v>86</v>
      </c>
      <c r="H3" s="9" t="s">
        <v>87</v>
      </c>
      <c r="I3" s="9" t="s">
        <v>88</v>
      </c>
      <c r="J3" s="9" t="s">
        <v>89</v>
      </c>
      <c r="K3" s="9" t="s">
        <v>90</v>
      </c>
    </row>
    <row r="4" spans="1:11">
      <c r="A4" s="11" t="s">
        <v>92</v>
      </c>
      <c r="B4">
        <v>0.15754610350000001</v>
      </c>
      <c r="C4">
        <v>8.2185800000000003E-2</v>
      </c>
      <c r="D4">
        <v>1.510768E-3</v>
      </c>
      <c r="E4">
        <v>6</v>
      </c>
      <c r="G4" t="s">
        <v>12</v>
      </c>
      <c r="H4">
        <v>1.7837626719999999</v>
      </c>
      <c r="I4">
        <v>0.29511029100000002</v>
      </c>
      <c r="J4">
        <v>2.0842506E-2</v>
      </c>
      <c r="K4">
        <v>1</v>
      </c>
    </row>
    <row r="5" spans="1:11">
      <c r="A5" s="11" t="s">
        <v>93</v>
      </c>
      <c r="B5">
        <v>1.9198100000000001E-16</v>
      </c>
      <c r="C5">
        <v>0.18190800200000001</v>
      </c>
      <c r="D5">
        <v>5.9641169999999997E-3</v>
      </c>
      <c r="E5">
        <v>1</v>
      </c>
      <c r="G5" t="s">
        <v>34</v>
      </c>
      <c r="H5">
        <v>1.460811697</v>
      </c>
      <c r="I5">
        <v>0.27680254500000001</v>
      </c>
      <c r="J5">
        <v>1.6612279000000001E-2</v>
      </c>
      <c r="K5">
        <v>1</v>
      </c>
    </row>
    <row r="6" spans="1:11">
      <c r="A6" s="11" t="s">
        <v>94</v>
      </c>
      <c r="B6">
        <v>0.38044501133333336</v>
      </c>
      <c r="C6">
        <v>0.29511029100000002</v>
      </c>
      <c r="D6">
        <v>2.0714511000000001E-2</v>
      </c>
      <c r="E6">
        <v>3</v>
      </c>
      <c r="G6" t="s">
        <v>35</v>
      </c>
      <c r="H6">
        <v>1.460811697</v>
      </c>
      <c r="I6">
        <v>0.27680254500000001</v>
      </c>
      <c r="J6">
        <v>1.6612279000000001E-2</v>
      </c>
      <c r="K6">
        <v>1</v>
      </c>
    </row>
    <row r="7" spans="1:11">
      <c r="A7" s="11" t="s">
        <v>95</v>
      </c>
      <c r="B7">
        <v>7.6692789999999997E-2</v>
      </c>
      <c r="C7">
        <v>0.37265267600000002</v>
      </c>
      <c r="D7">
        <v>3.6534575999999999E-2</v>
      </c>
      <c r="E7">
        <v>1</v>
      </c>
      <c r="G7" t="s">
        <v>31</v>
      </c>
      <c r="H7">
        <v>1.4040202788333334</v>
      </c>
      <c r="I7">
        <v>6.2066629999999998E-2</v>
      </c>
      <c r="J7">
        <v>6.4652700000000004E-4</v>
      </c>
      <c r="K7">
        <v>6</v>
      </c>
    </row>
    <row r="8" spans="1:11">
      <c r="A8" s="11" t="s">
        <v>96</v>
      </c>
      <c r="B8">
        <v>0.25987632560000001</v>
      </c>
      <c r="C8">
        <v>0.17117149400000001</v>
      </c>
      <c r="D8">
        <v>5.5588779999999997E-3</v>
      </c>
      <c r="E8">
        <v>5</v>
      </c>
      <c r="G8" t="s">
        <v>36</v>
      </c>
      <c r="H8">
        <v>1.3876931045000001</v>
      </c>
      <c r="I8">
        <v>4.2756036999999997E-2</v>
      </c>
      <c r="J8">
        <v>3.0128300000000001E-4</v>
      </c>
      <c r="K8">
        <v>2</v>
      </c>
    </row>
    <row r="9" spans="1:11">
      <c r="A9" s="11" t="s">
        <v>97</v>
      </c>
      <c r="B9">
        <v>0.41706488199999997</v>
      </c>
      <c r="C9">
        <v>0.26398003599999997</v>
      </c>
      <c r="D9">
        <v>1.2212311999999999E-2</v>
      </c>
      <c r="E9">
        <v>2</v>
      </c>
      <c r="G9" t="s">
        <v>37</v>
      </c>
      <c r="H9">
        <v>1.2347232420000001</v>
      </c>
      <c r="I9">
        <v>8.0360676000000006E-2</v>
      </c>
      <c r="J9">
        <v>1.32581E-3</v>
      </c>
      <c r="K9">
        <v>1</v>
      </c>
    </row>
    <row r="10" spans="1:11">
      <c r="A10" s="11" t="s">
        <v>98</v>
      </c>
      <c r="B10">
        <v>0.26486825749999998</v>
      </c>
      <c r="C10">
        <v>0.28003235799999998</v>
      </c>
      <c r="D10">
        <v>1.8227243000000001E-2</v>
      </c>
      <c r="E10">
        <v>2</v>
      </c>
      <c r="G10" t="s">
        <v>38</v>
      </c>
      <c r="H10">
        <v>1.2347232420000001</v>
      </c>
      <c r="I10">
        <v>8.0360676000000006E-2</v>
      </c>
      <c r="J10">
        <v>1.32581E-3</v>
      </c>
      <c r="K10">
        <v>1</v>
      </c>
    </row>
    <row r="11" spans="1:11">
      <c r="A11" s="11" t="s">
        <v>99</v>
      </c>
      <c r="B11">
        <v>0.35467345333333328</v>
      </c>
      <c r="C11">
        <v>0.15847360599999999</v>
      </c>
      <c r="D11">
        <v>4.3696769999999998E-3</v>
      </c>
      <c r="E11">
        <v>6</v>
      </c>
      <c r="G11" t="s">
        <v>39</v>
      </c>
      <c r="H11">
        <v>1.2300415120000001</v>
      </c>
      <c r="I11">
        <v>6.2066629999999998E-2</v>
      </c>
      <c r="J11">
        <v>6.4479700000000001E-4</v>
      </c>
      <c r="K11">
        <v>2</v>
      </c>
    </row>
    <row r="12" spans="1:11">
      <c r="A12" s="11" t="s">
        <v>223</v>
      </c>
      <c r="B12">
        <v>0.26089019399999996</v>
      </c>
      <c r="C12">
        <v>0.30495237400000003</v>
      </c>
      <c r="D12">
        <v>2.2983542999999999E-2</v>
      </c>
      <c r="E12">
        <v>3</v>
      </c>
      <c r="G12" t="s">
        <v>40</v>
      </c>
      <c r="H12">
        <v>1.1456113406666668</v>
      </c>
      <c r="I12">
        <v>0.26449464700000003</v>
      </c>
      <c r="J12">
        <v>1.2641288000000001E-2</v>
      </c>
      <c r="K12">
        <v>3</v>
      </c>
    </row>
    <row r="13" spans="1:11">
      <c r="A13" s="11" t="s">
        <v>100</v>
      </c>
      <c r="B13">
        <v>0.14193545450000011</v>
      </c>
      <c r="C13">
        <v>9.4080800000000001E-4</v>
      </c>
      <c r="D13">
        <v>5.7599999999999997E-7</v>
      </c>
      <c r="E13">
        <v>2</v>
      </c>
      <c r="G13" t="s">
        <v>41</v>
      </c>
      <c r="H13">
        <v>1.1086169769999998</v>
      </c>
      <c r="I13">
        <v>0.13226236299999999</v>
      </c>
      <c r="J13">
        <v>3.1606809999999998E-3</v>
      </c>
      <c r="K13">
        <v>3</v>
      </c>
    </row>
    <row r="14" spans="1:11">
      <c r="A14" s="11" t="s">
        <v>224</v>
      </c>
      <c r="B14">
        <v>8.2725341999999993E-2</v>
      </c>
      <c r="C14">
        <v>0.18836525800000001</v>
      </c>
      <c r="D14">
        <v>7.0406130000000003E-3</v>
      </c>
      <c r="E14">
        <v>1</v>
      </c>
      <c r="G14" t="s">
        <v>131</v>
      </c>
      <c r="H14">
        <v>1.0999838215</v>
      </c>
      <c r="I14">
        <v>0.27680254500000001</v>
      </c>
      <c r="J14">
        <v>1.4959413E-2</v>
      </c>
      <c r="K14">
        <v>2</v>
      </c>
    </row>
    <row r="15" spans="1:11">
      <c r="A15" s="11" t="s">
        <v>225</v>
      </c>
      <c r="B15">
        <v>0.46069921800000002</v>
      </c>
      <c r="C15">
        <v>0.18190800200000001</v>
      </c>
      <c r="D15">
        <v>6.145541E-3</v>
      </c>
      <c r="E15">
        <v>1</v>
      </c>
      <c r="G15" t="s">
        <v>18</v>
      </c>
      <c r="H15">
        <v>1.0915424893333332</v>
      </c>
      <c r="I15">
        <v>3.6761463000000001E-2</v>
      </c>
      <c r="J15">
        <v>2.47779E-4</v>
      </c>
      <c r="K15">
        <v>3</v>
      </c>
    </row>
    <row r="16" spans="1:11">
      <c r="A16" s="11" t="s">
        <v>226</v>
      </c>
      <c r="B16">
        <v>0.13829385299999999</v>
      </c>
      <c r="C16">
        <v>0.29045016200000001</v>
      </c>
      <c r="D16">
        <v>1.9755755999999999E-2</v>
      </c>
      <c r="E16">
        <v>1</v>
      </c>
      <c r="G16" t="s">
        <v>193</v>
      </c>
      <c r="H16">
        <v>1.0372320269999999</v>
      </c>
      <c r="I16">
        <v>0.27680254500000001</v>
      </c>
      <c r="J16">
        <v>1.6612279000000001E-2</v>
      </c>
      <c r="K16">
        <v>2</v>
      </c>
    </row>
    <row r="17" spans="1:11">
      <c r="A17" s="11" t="s">
        <v>101</v>
      </c>
      <c r="B17">
        <v>0.34338335080000004</v>
      </c>
      <c r="C17">
        <v>2.1850936000000001E-2</v>
      </c>
      <c r="D17">
        <v>1.07112E-4</v>
      </c>
      <c r="E17">
        <v>15</v>
      </c>
      <c r="G17" t="s">
        <v>137</v>
      </c>
      <c r="H17">
        <v>0.98573822499999997</v>
      </c>
      <c r="I17">
        <v>0.27680254500000001</v>
      </c>
      <c r="J17">
        <v>1.4967078E-2</v>
      </c>
      <c r="K17">
        <v>1</v>
      </c>
    </row>
    <row r="18" spans="1:11">
      <c r="A18" s="11" t="s">
        <v>102</v>
      </c>
      <c r="B18">
        <v>0.40279353170588245</v>
      </c>
      <c r="C18">
        <v>3.3191430000000001E-3</v>
      </c>
      <c r="D18">
        <v>4.07E-6</v>
      </c>
      <c r="E18">
        <v>17</v>
      </c>
      <c r="G18" t="s">
        <v>227</v>
      </c>
      <c r="H18">
        <v>0.95616523666666675</v>
      </c>
      <c r="I18">
        <v>2.8941518999999999E-2</v>
      </c>
      <c r="J18">
        <v>1.6847100000000001E-4</v>
      </c>
      <c r="K18">
        <v>3</v>
      </c>
    </row>
    <row r="19" spans="1:11">
      <c r="A19" s="11" t="s">
        <v>104</v>
      </c>
      <c r="B19">
        <v>0.28442317242857146</v>
      </c>
      <c r="C19">
        <v>0.16001879099999999</v>
      </c>
      <c r="D19">
        <v>4.9025370000000002E-3</v>
      </c>
      <c r="E19">
        <v>7</v>
      </c>
      <c r="G19" t="s">
        <v>24</v>
      </c>
      <c r="H19">
        <v>0.86233315099999996</v>
      </c>
      <c r="I19">
        <v>0.239334717</v>
      </c>
      <c r="J19">
        <v>1.0412233E-2</v>
      </c>
      <c r="K19">
        <v>1</v>
      </c>
    </row>
    <row r="20" spans="1:11">
      <c r="A20" s="11" t="s">
        <v>105</v>
      </c>
      <c r="B20">
        <v>0.72767271950000012</v>
      </c>
      <c r="C20">
        <v>1.1215197E-2</v>
      </c>
      <c r="D20">
        <v>2.7500000000000001E-5</v>
      </c>
      <c r="E20">
        <v>8</v>
      </c>
      <c r="G20" t="s">
        <v>173</v>
      </c>
      <c r="H20">
        <v>0.82432483933333334</v>
      </c>
      <c r="I20">
        <v>0.34326722700000001</v>
      </c>
      <c r="J20">
        <v>2.9850301999999999E-2</v>
      </c>
      <c r="K20">
        <v>3</v>
      </c>
    </row>
    <row r="21" spans="1:11">
      <c r="A21" s="11" t="s">
        <v>107</v>
      </c>
      <c r="B21">
        <v>0.40427863225000005</v>
      </c>
      <c r="C21">
        <v>7.1399999999999994E-11</v>
      </c>
      <c r="D21">
        <v>2.19E-14</v>
      </c>
      <c r="E21">
        <v>4</v>
      </c>
      <c r="G21" t="s">
        <v>21</v>
      </c>
      <c r="H21">
        <v>0.79060438600000005</v>
      </c>
      <c r="I21">
        <v>0.38608615600000001</v>
      </c>
      <c r="J21">
        <v>4.6841334999999998E-2</v>
      </c>
      <c r="K21">
        <v>1</v>
      </c>
    </row>
    <row r="22" spans="1:11">
      <c r="A22" s="11" t="s">
        <v>109</v>
      </c>
      <c r="B22">
        <v>0.294211868125</v>
      </c>
      <c r="C22">
        <v>5.6601652000000002E-2</v>
      </c>
      <c r="D22">
        <v>4.1618900000000002E-4</v>
      </c>
      <c r="E22">
        <v>8</v>
      </c>
      <c r="G22" t="s">
        <v>129</v>
      </c>
      <c r="H22">
        <v>0.79001459372727278</v>
      </c>
      <c r="I22">
        <v>6.2066629999999998E-2</v>
      </c>
      <c r="J22">
        <v>6.4479700000000001E-4</v>
      </c>
      <c r="K22">
        <v>11</v>
      </c>
    </row>
    <row r="23" spans="1:11">
      <c r="A23" s="11" t="s">
        <v>111</v>
      </c>
      <c r="B23">
        <v>0.36896795720000009</v>
      </c>
      <c r="C23">
        <v>0.19443305699999999</v>
      </c>
      <c r="D23">
        <v>7.406045E-3</v>
      </c>
      <c r="E23">
        <v>5</v>
      </c>
      <c r="G23" t="s">
        <v>228</v>
      </c>
      <c r="H23">
        <v>0.77294287699999997</v>
      </c>
      <c r="I23">
        <v>0.27680254500000001</v>
      </c>
      <c r="J23">
        <v>1.6612279000000001E-2</v>
      </c>
      <c r="K23">
        <v>4</v>
      </c>
    </row>
    <row r="24" spans="1:11">
      <c r="A24" s="11" t="s">
        <v>113</v>
      </c>
      <c r="B24">
        <v>0.41080331816666665</v>
      </c>
      <c r="C24">
        <v>8.009815E-3</v>
      </c>
      <c r="D24">
        <v>1.2300000000000001E-5</v>
      </c>
      <c r="E24">
        <v>6</v>
      </c>
      <c r="G24" t="s">
        <v>229</v>
      </c>
      <c r="H24">
        <v>0.766268536</v>
      </c>
      <c r="I24">
        <v>0.378150245</v>
      </c>
      <c r="J24">
        <v>3.9909187999999998E-2</v>
      </c>
      <c r="K24">
        <v>1</v>
      </c>
    </row>
    <row r="25" spans="1:11">
      <c r="A25" s="11" t="s">
        <v>230</v>
      </c>
      <c r="B25">
        <v>0.41275750150000007</v>
      </c>
      <c r="C25">
        <v>6.3154737000000002E-2</v>
      </c>
      <c r="D25">
        <v>6.9896699999999999E-4</v>
      </c>
      <c r="E25">
        <v>4</v>
      </c>
      <c r="G25" t="s">
        <v>120</v>
      </c>
      <c r="H25">
        <v>0.74715083733333332</v>
      </c>
      <c r="I25">
        <v>0.16757201399999999</v>
      </c>
      <c r="J25">
        <v>5.390644E-3</v>
      </c>
      <c r="K25">
        <v>3</v>
      </c>
    </row>
    <row r="26" spans="1:11">
      <c r="A26" s="11" t="s">
        <v>115</v>
      </c>
      <c r="B26">
        <v>0.30127928300000001</v>
      </c>
      <c r="C26">
        <v>0.378150245</v>
      </c>
      <c r="D26">
        <v>4.1922202999999998E-2</v>
      </c>
      <c r="E26">
        <v>1</v>
      </c>
      <c r="G26" t="s">
        <v>147</v>
      </c>
      <c r="H26">
        <v>0.7294822406</v>
      </c>
      <c r="I26">
        <v>6.2066629999999998E-2</v>
      </c>
      <c r="J26">
        <v>5.91988E-4</v>
      </c>
      <c r="K26">
        <v>5</v>
      </c>
    </row>
    <row r="27" spans="1:11">
      <c r="A27" s="11" t="s">
        <v>119</v>
      </c>
      <c r="B27">
        <v>0.57439107349999996</v>
      </c>
      <c r="C27">
        <v>1.3894541999999999E-2</v>
      </c>
      <c r="D27">
        <v>4.1600000000000002E-5</v>
      </c>
      <c r="E27">
        <v>6</v>
      </c>
      <c r="G27" t="s">
        <v>105</v>
      </c>
      <c r="H27">
        <v>0.72767271950000012</v>
      </c>
      <c r="I27">
        <v>1.1215197E-2</v>
      </c>
      <c r="J27">
        <v>2.7500000000000001E-5</v>
      </c>
      <c r="K27">
        <v>8</v>
      </c>
    </row>
    <row r="28" spans="1:11">
      <c r="A28" s="11" t="s">
        <v>121</v>
      </c>
      <c r="B28">
        <v>0.23275863975</v>
      </c>
      <c r="C28">
        <v>8.0360676000000006E-2</v>
      </c>
      <c r="D28">
        <v>1.3294960000000001E-3</v>
      </c>
      <c r="E28">
        <v>4</v>
      </c>
      <c r="G28" t="s">
        <v>203</v>
      </c>
      <c r="H28">
        <v>0.70059903000000001</v>
      </c>
      <c r="I28">
        <v>0.19746267200000001</v>
      </c>
      <c r="J28">
        <v>7.8108889999999997E-3</v>
      </c>
      <c r="K28">
        <v>2</v>
      </c>
    </row>
    <row r="29" spans="1:11">
      <c r="A29" s="11" t="s">
        <v>123</v>
      </c>
      <c r="B29">
        <v>0.159497521</v>
      </c>
      <c r="C29">
        <v>0.38906939099999999</v>
      </c>
      <c r="D29">
        <v>4.7983990999999997E-2</v>
      </c>
      <c r="E29">
        <v>1</v>
      </c>
      <c r="G29" t="s">
        <v>103</v>
      </c>
      <c r="H29">
        <v>0.68234770680000001</v>
      </c>
      <c r="I29">
        <v>0.29511029100000002</v>
      </c>
      <c r="J29">
        <v>2.1079601E-2</v>
      </c>
      <c r="K29">
        <v>5</v>
      </c>
    </row>
    <row r="30" spans="1:11">
      <c r="A30" s="11" t="s">
        <v>124</v>
      </c>
      <c r="B30">
        <v>0.62019575599999999</v>
      </c>
      <c r="C30">
        <v>0.15950623</v>
      </c>
      <c r="D30">
        <v>4.717293E-3</v>
      </c>
      <c r="E30">
        <v>4</v>
      </c>
      <c r="G30" t="s">
        <v>134</v>
      </c>
      <c r="H30">
        <v>0.660192114</v>
      </c>
      <c r="I30">
        <v>7.8879451000000003E-2</v>
      </c>
      <c r="J30">
        <v>1.1599920000000001E-3</v>
      </c>
      <c r="K30">
        <v>3</v>
      </c>
    </row>
    <row r="31" spans="1:11">
      <c r="A31" s="11" t="s">
        <v>126</v>
      </c>
      <c r="B31">
        <v>0.47198476787499999</v>
      </c>
      <c r="C31">
        <v>2.2141880000000002E-3</v>
      </c>
      <c r="D31">
        <v>2.04E-6</v>
      </c>
      <c r="E31">
        <v>8</v>
      </c>
      <c r="G31" t="s">
        <v>231</v>
      </c>
      <c r="H31">
        <v>0.65761934200000005</v>
      </c>
      <c r="I31">
        <v>0.29181596100000001</v>
      </c>
      <c r="J31">
        <v>2.0215205E-2</v>
      </c>
      <c r="K31">
        <v>1</v>
      </c>
    </row>
    <row r="32" spans="1:11">
      <c r="A32" s="11" t="s">
        <v>130</v>
      </c>
      <c r="B32">
        <v>0.42197274133333335</v>
      </c>
      <c r="C32">
        <v>1.0582642999999999E-2</v>
      </c>
      <c r="D32">
        <v>2.27E-5</v>
      </c>
      <c r="E32">
        <v>6</v>
      </c>
      <c r="G32" t="s">
        <v>110</v>
      </c>
      <c r="H32">
        <v>0.65761934200000005</v>
      </c>
      <c r="I32">
        <v>0.29181596100000001</v>
      </c>
      <c r="J32">
        <v>2.0215205E-2</v>
      </c>
      <c r="K32">
        <v>1</v>
      </c>
    </row>
    <row r="33" spans="1:11">
      <c r="A33" s="11" t="s">
        <v>132</v>
      </c>
      <c r="B33">
        <v>0.40707639716666671</v>
      </c>
      <c r="C33">
        <v>7.8879451000000003E-2</v>
      </c>
      <c r="D33">
        <v>1.054602E-3</v>
      </c>
      <c r="E33">
        <v>6</v>
      </c>
      <c r="G33" t="s">
        <v>150</v>
      </c>
      <c r="H33">
        <v>0.63175772799999996</v>
      </c>
      <c r="I33">
        <v>0.340361472</v>
      </c>
      <c r="J33">
        <v>2.9301952999999999E-2</v>
      </c>
      <c r="K33">
        <v>1</v>
      </c>
    </row>
    <row r="34" spans="1:11">
      <c r="A34" s="11" t="s">
        <v>134</v>
      </c>
      <c r="B34">
        <v>0.660192114</v>
      </c>
      <c r="C34">
        <v>7.8879451000000003E-2</v>
      </c>
      <c r="D34">
        <v>1.1599920000000001E-3</v>
      </c>
      <c r="E34">
        <v>3</v>
      </c>
      <c r="G34" t="s">
        <v>124</v>
      </c>
      <c r="H34">
        <v>0.62019575599999999</v>
      </c>
      <c r="I34">
        <v>0.15950623</v>
      </c>
      <c r="J34">
        <v>4.717293E-3</v>
      </c>
      <c r="K34">
        <v>4</v>
      </c>
    </row>
    <row r="35" spans="1:11">
      <c r="A35" s="11" t="s">
        <v>136</v>
      </c>
      <c r="B35">
        <v>0.39189389800000002</v>
      </c>
      <c r="C35">
        <v>7.8879451000000003E-2</v>
      </c>
      <c r="D35">
        <v>1.1599920000000001E-3</v>
      </c>
      <c r="E35">
        <v>1</v>
      </c>
      <c r="G35" t="s">
        <v>232</v>
      </c>
      <c r="H35">
        <v>0.62007593250000004</v>
      </c>
      <c r="I35">
        <v>0.29511029100000002</v>
      </c>
      <c r="J35">
        <v>2.1337630999999999E-2</v>
      </c>
      <c r="K35">
        <v>2</v>
      </c>
    </row>
    <row r="36" spans="1:11">
      <c r="A36" s="11" t="s">
        <v>138</v>
      </c>
      <c r="B36">
        <v>0.45310596225000005</v>
      </c>
      <c r="C36">
        <v>1.3894541999999999E-2</v>
      </c>
      <c r="D36">
        <v>4.2599999999999999E-5</v>
      </c>
      <c r="E36">
        <v>4</v>
      </c>
      <c r="G36" t="s">
        <v>233</v>
      </c>
      <c r="H36">
        <v>0.61365235699999998</v>
      </c>
      <c r="I36">
        <v>0.29511029100000002</v>
      </c>
      <c r="J36">
        <v>2.1337630999999999E-2</v>
      </c>
      <c r="K36">
        <v>1</v>
      </c>
    </row>
    <row r="37" spans="1:11">
      <c r="A37" s="11" t="s">
        <v>234</v>
      </c>
      <c r="B37">
        <v>2.9691599999999998E-16</v>
      </c>
      <c r="C37">
        <v>3.0784229999999999E-2</v>
      </c>
      <c r="D37">
        <v>1.88629E-4</v>
      </c>
      <c r="E37">
        <v>1</v>
      </c>
      <c r="G37" t="s">
        <v>179</v>
      </c>
      <c r="H37">
        <v>0.60365717799999996</v>
      </c>
      <c r="I37">
        <v>7.8879451000000003E-2</v>
      </c>
      <c r="J37">
        <v>1.1264230000000001E-3</v>
      </c>
      <c r="K37">
        <v>1</v>
      </c>
    </row>
    <row r="38" spans="1:11">
      <c r="A38" s="11" t="s">
        <v>144</v>
      </c>
      <c r="B38">
        <v>0.44410223028571433</v>
      </c>
      <c r="C38">
        <v>1.5419237000000001E-2</v>
      </c>
      <c r="D38">
        <v>6.1400000000000002E-5</v>
      </c>
      <c r="E38">
        <v>7</v>
      </c>
      <c r="G38" t="s">
        <v>15</v>
      </c>
      <c r="H38">
        <v>0.60365717799999996</v>
      </c>
      <c r="I38">
        <v>7.8879451000000003E-2</v>
      </c>
      <c r="J38">
        <v>1.1264230000000001E-3</v>
      </c>
      <c r="K38">
        <v>1</v>
      </c>
    </row>
    <row r="39" spans="1:11">
      <c r="A39" s="11" t="s">
        <v>146</v>
      </c>
      <c r="B39">
        <v>0.10960313200000014</v>
      </c>
      <c r="C39">
        <v>0.19746267200000001</v>
      </c>
      <c r="D39">
        <v>7.6392209999999999E-3</v>
      </c>
      <c r="E39">
        <v>3</v>
      </c>
      <c r="G39" t="s">
        <v>201</v>
      </c>
      <c r="H39">
        <v>0.59658199599999995</v>
      </c>
      <c r="I39">
        <v>0.111782258</v>
      </c>
      <c r="J39">
        <v>2.3630439999999999E-3</v>
      </c>
      <c r="K39">
        <v>1</v>
      </c>
    </row>
    <row r="40" spans="1:11">
      <c r="A40" s="11" t="s">
        <v>148</v>
      </c>
      <c r="B40">
        <v>0.53467749450000002</v>
      </c>
      <c r="C40">
        <v>6.3154737000000002E-2</v>
      </c>
      <c r="D40">
        <v>7.1590800000000002E-4</v>
      </c>
      <c r="E40">
        <v>4</v>
      </c>
      <c r="G40" t="s">
        <v>208</v>
      </c>
      <c r="H40">
        <v>0.58510593399999999</v>
      </c>
      <c r="I40">
        <v>6.0076342999999997E-2</v>
      </c>
      <c r="J40">
        <v>5.4062499999999998E-4</v>
      </c>
      <c r="K40">
        <v>2</v>
      </c>
    </row>
    <row r="41" spans="1:11">
      <c r="A41" s="11" t="s">
        <v>235</v>
      </c>
      <c r="B41">
        <v>0.28325594600000004</v>
      </c>
      <c r="C41">
        <v>0.27680254500000001</v>
      </c>
      <c r="D41">
        <v>1.7031465999999999E-2</v>
      </c>
      <c r="E41">
        <v>2</v>
      </c>
      <c r="G41" t="s">
        <v>152</v>
      </c>
      <c r="H41">
        <v>0.58441690099999999</v>
      </c>
      <c r="I41">
        <v>0.248443952</v>
      </c>
      <c r="J41">
        <v>1.0888027999999999E-2</v>
      </c>
      <c r="K41">
        <v>1</v>
      </c>
    </row>
    <row r="42" spans="1:11">
      <c r="A42" s="11" t="s">
        <v>149</v>
      </c>
      <c r="B42">
        <v>0.32975549583333336</v>
      </c>
      <c r="C42">
        <v>0.27680254500000001</v>
      </c>
      <c r="D42">
        <v>1.3831421E-2</v>
      </c>
      <c r="E42">
        <v>6</v>
      </c>
      <c r="G42" t="s">
        <v>119</v>
      </c>
      <c r="H42">
        <v>0.57439107349999996</v>
      </c>
      <c r="I42">
        <v>1.3894541999999999E-2</v>
      </c>
      <c r="J42">
        <v>4.1600000000000002E-5</v>
      </c>
      <c r="K42">
        <v>6</v>
      </c>
    </row>
    <row r="43" spans="1:11">
      <c r="A43" s="11" t="s">
        <v>151</v>
      </c>
      <c r="B43">
        <v>0.23862835700000001</v>
      </c>
      <c r="C43">
        <v>0.29093922900000002</v>
      </c>
      <c r="D43">
        <v>1.9966418E-2</v>
      </c>
      <c r="E43">
        <v>2</v>
      </c>
      <c r="G43" t="s">
        <v>155</v>
      </c>
      <c r="H43">
        <v>0.5674709805</v>
      </c>
      <c r="I43">
        <v>0.13022552600000001</v>
      </c>
      <c r="J43">
        <v>3.0721099999999999E-3</v>
      </c>
      <c r="K43">
        <v>2</v>
      </c>
    </row>
    <row r="44" spans="1:11">
      <c r="A44" s="11" t="s">
        <v>153</v>
      </c>
      <c r="B44">
        <v>0.45863117649999996</v>
      </c>
      <c r="C44">
        <v>1.4847480999999999E-2</v>
      </c>
      <c r="D44">
        <v>5.0000000000000002E-5</v>
      </c>
      <c r="E44">
        <v>10</v>
      </c>
      <c r="G44" t="s">
        <v>154</v>
      </c>
      <c r="H44">
        <v>0.56304253000000004</v>
      </c>
      <c r="I44">
        <v>0.31627935499999998</v>
      </c>
      <c r="J44">
        <v>2.5678317999999999E-2</v>
      </c>
      <c r="K44">
        <v>1</v>
      </c>
    </row>
    <row r="45" spans="1:11">
      <c r="A45" s="11" t="s">
        <v>154</v>
      </c>
      <c r="B45">
        <v>0.56304253000000004</v>
      </c>
      <c r="C45">
        <v>0.31627935499999998</v>
      </c>
      <c r="D45">
        <v>2.5678317999999999E-2</v>
      </c>
      <c r="E45">
        <v>1</v>
      </c>
      <c r="G45" t="s">
        <v>112</v>
      </c>
      <c r="H45">
        <v>0.55942114600000004</v>
      </c>
      <c r="I45">
        <v>0.111691388</v>
      </c>
      <c r="J45">
        <v>2.292685E-3</v>
      </c>
      <c r="K45">
        <v>1</v>
      </c>
    </row>
    <row r="46" spans="1:11">
      <c r="A46" s="11" t="s">
        <v>236</v>
      </c>
      <c r="B46">
        <v>0.25285805099999997</v>
      </c>
      <c r="C46">
        <v>8.0360676000000006E-2</v>
      </c>
      <c r="D46">
        <v>1.2157100000000001E-3</v>
      </c>
      <c r="E46">
        <v>1</v>
      </c>
      <c r="G46" t="s">
        <v>237</v>
      </c>
      <c r="H46">
        <v>0.55781628000000005</v>
      </c>
      <c r="I46">
        <v>0.38295622699999998</v>
      </c>
      <c r="J46">
        <v>4.4858611999999999E-2</v>
      </c>
      <c r="K46">
        <v>1</v>
      </c>
    </row>
    <row r="47" spans="1:11">
      <c r="A47" s="11" t="s">
        <v>156</v>
      </c>
      <c r="B47">
        <v>0.49018840360000004</v>
      </c>
      <c r="C47">
        <v>0.21408949899999999</v>
      </c>
      <c r="D47">
        <v>8.9859870000000008E-3</v>
      </c>
      <c r="E47">
        <v>10</v>
      </c>
      <c r="G47" t="s">
        <v>169</v>
      </c>
      <c r="H47">
        <v>0.54966521144444447</v>
      </c>
      <c r="I47">
        <v>6.0076342999999997E-2</v>
      </c>
      <c r="J47">
        <v>4.95923E-4</v>
      </c>
      <c r="K47">
        <v>9</v>
      </c>
    </row>
    <row r="48" spans="1:11">
      <c r="A48" s="11" t="s">
        <v>158</v>
      </c>
      <c r="B48">
        <v>0.53743674054545454</v>
      </c>
      <c r="C48">
        <v>6.5471211000000001E-2</v>
      </c>
      <c r="D48">
        <v>7.8228499999999997E-4</v>
      </c>
      <c r="E48">
        <v>11</v>
      </c>
      <c r="G48" t="s">
        <v>158</v>
      </c>
      <c r="H48">
        <v>0.53743674054545454</v>
      </c>
      <c r="I48">
        <v>6.5471211000000001E-2</v>
      </c>
      <c r="J48">
        <v>7.8228499999999997E-4</v>
      </c>
      <c r="K48">
        <v>11</v>
      </c>
    </row>
    <row r="49" spans="1:11">
      <c r="A49" s="11" t="s">
        <v>160</v>
      </c>
      <c r="B49">
        <v>0.50555649700000016</v>
      </c>
      <c r="C49">
        <v>0.307609735</v>
      </c>
      <c r="D49">
        <v>2.4223709E-2</v>
      </c>
      <c r="E49">
        <v>2</v>
      </c>
      <c r="G49" t="s">
        <v>157</v>
      </c>
      <c r="H49">
        <v>0.53708767899999998</v>
      </c>
      <c r="I49">
        <v>0.27680254500000001</v>
      </c>
      <c r="J49">
        <v>1.5496443E-2</v>
      </c>
      <c r="K49">
        <v>1</v>
      </c>
    </row>
    <row r="50" spans="1:11">
      <c r="A50" s="11" t="s">
        <v>162</v>
      </c>
      <c r="B50">
        <v>3.986158600000006E-2</v>
      </c>
      <c r="C50">
        <v>3.6761463000000001E-2</v>
      </c>
      <c r="D50">
        <v>2.43861E-4</v>
      </c>
      <c r="E50">
        <v>2</v>
      </c>
      <c r="G50" t="s">
        <v>148</v>
      </c>
      <c r="H50">
        <v>0.53467749450000002</v>
      </c>
      <c r="I50">
        <v>6.3154737000000002E-2</v>
      </c>
      <c r="J50">
        <v>7.1590800000000002E-4</v>
      </c>
      <c r="K50">
        <v>4</v>
      </c>
    </row>
    <row r="51" spans="1:11">
      <c r="A51" s="11" t="s">
        <v>164</v>
      </c>
      <c r="B51">
        <v>7.6602689500000182E-2</v>
      </c>
      <c r="C51">
        <v>1.0582642999999999E-2</v>
      </c>
      <c r="D51">
        <v>2.2500000000000001E-5</v>
      </c>
      <c r="E51">
        <v>2</v>
      </c>
      <c r="G51" t="s">
        <v>186</v>
      </c>
      <c r="H51">
        <v>0.53459901099999996</v>
      </c>
      <c r="I51">
        <v>0.207697786</v>
      </c>
      <c r="J51">
        <v>8.5268089999999998E-3</v>
      </c>
      <c r="K51">
        <v>1</v>
      </c>
    </row>
    <row r="52" spans="1:11">
      <c r="A52" s="11" t="s">
        <v>165</v>
      </c>
      <c r="B52">
        <v>0.48567406000000002</v>
      </c>
      <c r="C52">
        <v>0.378150245</v>
      </c>
      <c r="D52">
        <v>3.9912589999999998E-2</v>
      </c>
      <c r="E52">
        <v>1</v>
      </c>
      <c r="G52" t="s">
        <v>178</v>
      </c>
      <c r="H52">
        <v>0.53359058299999995</v>
      </c>
      <c r="I52">
        <v>0.111782258</v>
      </c>
      <c r="J52">
        <v>2.3353879999999999E-3</v>
      </c>
      <c r="K52">
        <v>2</v>
      </c>
    </row>
    <row r="53" spans="1:11">
      <c r="A53" s="11" t="s">
        <v>166</v>
      </c>
      <c r="B53">
        <v>0.37372511900000005</v>
      </c>
      <c r="C53">
        <v>6.3502189000000001E-2</v>
      </c>
      <c r="D53">
        <v>7.3930199999999995E-4</v>
      </c>
      <c r="E53">
        <v>10</v>
      </c>
      <c r="G53" t="s">
        <v>197</v>
      </c>
      <c r="H53">
        <v>0.53208558549999996</v>
      </c>
      <c r="I53">
        <v>0.27760357099999999</v>
      </c>
      <c r="J53">
        <v>1.7775473999999999E-2</v>
      </c>
      <c r="K53">
        <v>2</v>
      </c>
    </row>
    <row r="54" spans="1:11">
      <c r="A54" s="11" t="s">
        <v>168</v>
      </c>
      <c r="B54">
        <v>0.52294566300000001</v>
      </c>
      <c r="C54">
        <v>0.378150245</v>
      </c>
      <c r="D54">
        <v>4.0333696000000002E-2</v>
      </c>
      <c r="E54">
        <v>1</v>
      </c>
      <c r="G54" t="s">
        <v>168</v>
      </c>
      <c r="H54">
        <v>0.52294566300000001</v>
      </c>
      <c r="I54">
        <v>0.378150245</v>
      </c>
      <c r="J54">
        <v>4.0333696000000002E-2</v>
      </c>
      <c r="K54">
        <v>1</v>
      </c>
    </row>
    <row r="55" spans="1:11">
      <c r="A55" s="11" t="s">
        <v>170</v>
      </c>
      <c r="B55">
        <v>0.3270055865</v>
      </c>
      <c r="C55">
        <v>2.0788244000000001E-2</v>
      </c>
      <c r="D55">
        <v>9.5500000000000004E-5</v>
      </c>
      <c r="E55">
        <v>12</v>
      </c>
      <c r="G55" t="s">
        <v>238</v>
      </c>
      <c r="H55">
        <v>0.51606534474999999</v>
      </c>
      <c r="I55">
        <v>6.0076342999999997E-2</v>
      </c>
      <c r="J55">
        <v>4.95923E-4</v>
      </c>
      <c r="K55">
        <v>4</v>
      </c>
    </row>
    <row r="56" spans="1:11">
      <c r="A56" s="11" t="s">
        <v>127</v>
      </c>
      <c r="B56">
        <v>0.28872308422222226</v>
      </c>
      <c r="C56">
        <v>0.13850616399999999</v>
      </c>
      <c r="D56">
        <v>3.3523239999999998E-3</v>
      </c>
      <c r="E56">
        <v>9</v>
      </c>
      <c r="G56" t="s">
        <v>160</v>
      </c>
      <c r="H56">
        <v>0.50555649700000016</v>
      </c>
      <c r="I56">
        <v>0.307609735</v>
      </c>
      <c r="J56">
        <v>2.4223709E-2</v>
      </c>
      <c r="K56">
        <v>2</v>
      </c>
    </row>
    <row r="57" spans="1:11">
      <c r="A57" s="11" t="s">
        <v>174</v>
      </c>
      <c r="B57">
        <v>6.5468288500000082E-2</v>
      </c>
      <c r="C57">
        <v>1.5095001E-2</v>
      </c>
      <c r="D57">
        <v>5.5500000000000001E-5</v>
      </c>
      <c r="E57">
        <v>2</v>
      </c>
      <c r="G57" t="s">
        <v>156</v>
      </c>
      <c r="H57">
        <v>0.49018840360000004</v>
      </c>
      <c r="I57">
        <v>0.21408949899999999</v>
      </c>
      <c r="J57">
        <v>8.9859870000000008E-3</v>
      </c>
      <c r="K57">
        <v>10</v>
      </c>
    </row>
    <row r="58" spans="1:11">
      <c r="A58" s="11" t="s">
        <v>239</v>
      </c>
      <c r="B58">
        <v>5.3916299999999997E-17</v>
      </c>
      <c r="C58">
        <v>0.38295622699999998</v>
      </c>
      <c r="D58">
        <v>4.6198452000000001E-2</v>
      </c>
      <c r="E58">
        <v>1</v>
      </c>
      <c r="G58" t="s">
        <v>240</v>
      </c>
      <c r="H58">
        <v>0.48807445500000002</v>
      </c>
      <c r="I58">
        <v>0.12599306599999999</v>
      </c>
      <c r="J58">
        <v>2.9336620000000001E-3</v>
      </c>
      <c r="K58">
        <v>2</v>
      </c>
    </row>
    <row r="59" spans="1:11">
      <c r="A59" s="11" t="s">
        <v>175</v>
      </c>
      <c r="B59">
        <v>0.119869799</v>
      </c>
      <c r="C59">
        <v>0.27680254500000001</v>
      </c>
      <c r="D59">
        <v>1.5769885000000001E-2</v>
      </c>
      <c r="E59">
        <v>1</v>
      </c>
      <c r="G59" t="s">
        <v>165</v>
      </c>
      <c r="H59">
        <v>0.48567406000000002</v>
      </c>
      <c r="I59">
        <v>0.378150245</v>
      </c>
      <c r="J59">
        <v>3.9912589999999998E-2</v>
      </c>
      <c r="K59">
        <v>1</v>
      </c>
    </row>
    <row r="60" spans="1:11">
      <c r="A60" s="11" t="s">
        <v>103</v>
      </c>
      <c r="B60">
        <v>0.68234770680000001</v>
      </c>
      <c r="C60">
        <v>0.29511029100000002</v>
      </c>
      <c r="D60">
        <v>2.1079601E-2</v>
      </c>
      <c r="E60">
        <v>5</v>
      </c>
      <c r="G60" t="s">
        <v>108</v>
      </c>
      <c r="H60">
        <v>0.47213326999999999</v>
      </c>
      <c r="I60">
        <v>0.26449464700000003</v>
      </c>
      <c r="J60">
        <v>1.2641288000000001E-2</v>
      </c>
      <c r="K60">
        <v>1</v>
      </c>
    </row>
    <row r="61" spans="1:11">
      <c r="A61" s="11" t="s">
        <v>137</v>
      </c>
      <c r="B61">
        <v>0.98573822499999997</v>
      </c>
      <c r="C61">
        <v>0.27680254500000001</v>
      </c>
      <c r="D61">
        <v>1.4967078E-2</v>
      </c>
      <c r="E61">
        <v>1</v>
      </c>
      <c r="G61" t="s">
        <v>126</v>
      </c>
      <c r="H61">
        <v>0.47198476787499999</v>
      </c>
      <c r="I61">
        <v>2.2141880000000002E-3</v>
      </c>
      <c r="J61">
        <v>2.04E-6</v>
      </c>
      <c r="K61">
        <v>8</v>
      </c>
    </row>
    <row r="62" spans="1:11">
      <c r="A62" s="11" t="s">
        <v>177</v>
      </c>
      <c r="B62">
        <v>0.32417559000000001</v>
      </c>
      <c r="C62">
        <v>0.34326722700000001</v>
      </c>
      <c r="D62">
        <v>3.0454979E-2</v>
      </c>
      <c r="E62">
        <v>1</v>
      </c>
      <c r="G62" t="s">
        <v>225</v>
      </c>
      <c r="H62">
        <v>0.46069921800000002</v>
      </c>
      <c r="I62">
        <v>0.18190800200000001</v>
      </c>
      <c r="J62">
        <v>6.145541E-3</v>
      </c>
      <c r="K62">
        <v>1</v>
      </c>
    </row>
    <row r="63" spans="1:11">
      <c r="A63" s="11" t="s">
        <v>178</v>
      </c>
      <c r="B63">
        <v>0.53359058299999995</v>
      </c>
      <c r="C63">
        <v>0.111782258</v>
      </c>
      <c r="D63">
        <v>2.3353879999999999E-3</v>
      </c>
      <c r="E63">
        <v>2</v>
      </c>
      <c r="G63" t="s">
        <v>153</v>
      </c>
      <c r="H63">
        <v>0.45863117649999996</v>
      </c>
      <c r="I63">
        <v>1.4847480999999999E-2</v>
      </c>
      <c r="J63">
        <v>5.0000000000000002E-5</v>
      </c>
      <c r="K63">
        <v>10</v>
      </c>
    </row>
    <row r="64" spans="1:11">
      <c r="A64" s="11" t="s">
        <v>182</v>
      </c>
      <c r="B64">
        <v>0.29057196200000002</v>
      </c>
      <c r="C64">
        <v>0.307609735</v>
      </c>
      <c r="D64">
        <v>2.3985225999999998E-2</v>
      </c>
      <c r="E64">
        <v>2</v>
      </c>
      <c r="G64" t="s">
        <v>138</v>
      </c>
      <c r="H64">
        <v>0.45310596225000005</v>
      </c>
      <c r="I64">
        <v>1.3894541999999999E-2</v>
      </c>
      <c r="J64">
        <v>4.2599999999999999E-5</v>
      </c>
      <c r="K64">
        <v>4</v>
      </c>
    </row>
    <row r="65" spans="1:11">
      <c r="A65" s="11" t="s">
        <v>183</v>
      </c>
      <c r="B65">
        <v>0.41384807700000004</v>
      </c>
      <c r="C65">
        <v>2.7112836000000001E-2</v>
      </c>
      <c r="D65">
        <v>1.49519E-4</v>
      </c>
      <c r="E65">
        <v>4</v>
      </c>
      <c r="G65" t="s">
        <v>190</v>
      </c>
      <c r="H65">
        <v>0.45272324966666666</v>
      </c>
      <c r="I65">
        <v>0.27680254500000001</v>
      </c>
      <c r="J65">
        <v>1.5187633000000001E-2</v>
      </c>
      <c r="K65">
        <v>3</v>
      </c>
    </row>
    <row r="66" spans="1:11">
      <c r="A66" s="11" t="s">
        <v>152</v>
      </c>
      <c r="B66">
        <v>0.58441690099999999</v>
      </c>
      <c r="C66">
        <v>0.248443952</v>
      </c>
      <c r="D66">
        <v>1.0888027999999999E-2</v>
      </c>
      <c r="E66">
        <v>1</v>
      </c>
      <c r="G66" t="s">
        <v>143</v>
      </c>
      <c r="H66">
        <v>0.44908401683333343</v>
      </c>
      <c r="I66">
        <v>0.105513645</v>
      </c>
      <c r="J66">
        <v>2.1292429999999998E-3</v>
      </c>
      <c r="K66">
        <v>6</v>
      </c>
    </row>
    <row r="67" spans="1:11">
      <c r="A67" s="11" t="s">
        <v>185</v>
      </c>
      <c r="B67">
        <v>0.14890024716666669</v>
      </c>
      <c r="C67">
        <v>0.21240772999999999</v>
      </c>
      <c r="D67">
        <v>8.785246E-3</v>
      </c>
      <c r="E67">
        <v>6</v>
      </c>
      <c r="G67" t="s">
        <v>144</v>
      </c>
      <c r="H67">
        <v>0.44410223028571433</v>
      </c>
      <c r="I67">
        <v>1.5419237000000001E-2</v>
      </c>
      <c r="J67">
        <v>6.1400000000000002E-5</v>
      </c>
      <c r="K67">
        <v>7</v>
      </c>
    </row>
    <row r="68" spans="1:11">
      <c r="A68" s="11" t="s">
        <v>241</v>
      </c>
      <c r="B68">
        <v>0.125474538</v>
      </c>
      <c r="C68">
        <v>0.307609735</v>
      </c>
      <c r="D68">
        <v>2.4314740000000001E-2</v>
      </c>
      <c r="E68">
        <v>1</v>
      </c>
      <c r="G68" t="s">
        <v>130</v>
      </c>
      <c r="H68">
        <v>0.42197274133333335</v>
      </c>
      <c r="I68">
        <v>1.0582642999999999E-2</v>
      </c>
      <c r="J68">
        <v>2.27E-5</v>
      </c>
      <c r="K68">
        <v>6</v>
      </c>
    </row>
    <row r="69" spans="1:11">
      <c r="A69" s="11" t="s">
        <v>173</v>
      </c>
      <c r="B69">
        <v>0.82432483933333334</v>
      </c>
      <c r="C69">
        <v>0.34326722700000001</v>
      </c>
      <c r="D69">
        <v>2.9850301999999999E-2</v>
      </c>
      <c r="E69">
        <v>3</v>
      </c>
      <c r="G69" t="s">
        <v>97</v>
      </c>
      <c r="H69">
        <v>0.41706488199999997</v>
      </c>
      <c r="I69">
        <v>0.26398003599999997</v>
      </c>
      <c r="J69">
        <v>1.2212311999999999E-2</v>
      </c>
      <c r="K69">
        <v>2</v>
      </c>
    </row>
    <row r="70" spans="1:11">
      <c r="A70" s="11" t="s">
        <v>24</v>
      </c>
      <c r="B70">
        <v>0.86233315099999996</v>
      </c>
      <c r="C70">
        <v>0.239334717</v>
      </c>
      <c r="D70">
        <v>1.0412233E-2</v>
      </c>
      <c r="E70">
        <v>1</v>
      </c>
      <c r="G70" t="s">
        <v>183</v>
      </c>
      <c r="H70">
        <v>0.41384807700000004</v>
      </c>
      <c r="I70">
        <v>2.7112836000000001E-2</v>
      </c>
      <c r="J70">
        <v>1.49519E-4</v>
      </c>
      <c r="K70">
        <v>4</v>
      </c>
    </row>
    <row r="71" spans="1:11">
      <c r="A71" s="11" t="s">
        <v>231</v>
      </c>
      <c r="B71">
        <v>0.65761934200000005</v>
      </c>
      <c r="C71">
        <v>0.29181596100000001</v>
      </c>
      <c r="D71">
        <v>2.0215205E-2</v>
      </c>
      <c r="E71">
        <v>1</v>
      </c>
      <c r="G71" t="s">
        <v>230</v>
      </c>
      <c r="H71">
        <v>0.41275750150000007</v>
      </c>
      <c r="I71">
        <v>6.3154737000000002E-2</v>
      </c>
      <c r="J71">
        <v>6.9896699999999999E-4</v>
      </c>
      <c r="K71">
        <v>4</v>
      </c>
    </row>
    <row r="72" spans="1:11">
      <c r="A72" s="11" t="s">
        <v>171</v>
      </c>
      <c r="B72">
        <v>0.22456358133333332</v>
      </c>
      <c r="C72">
        <v>0.307609735</v>
      </c>
      <c r="D72">
        <v>2.3493377999999999E-2</v>
      </c>
      <c r="E72">
        <v>3</v>
      </c>
      <c r="G72" t="s">
        <v>113</v>
      </c>
      <c r="H72">
        <v>0.41080331816666665</v>
      </c>
      <c r="I72">
        <v>8.009815E-3</v>
      </c>
      <c r="J72">
        <v>1.2300000000000001E-5</v>
      </c>
      <c r="K72">
        <v>6</v>
      </c>
    </row>
    <row r="73" spans="1:11">
      <c r="A73" s="11" t="s">
        <v>181</v>
      </c>
      <c r="B73">
        <v>0.31118893800000003</v>
      </c>
      <c r="C73">
        <v>0.27680254500000001</v>
      </c>
      <c r="D73">
        <v>1.4323348E-2</v>
      </c>
      <c r="E73">
        <v>1</v>
      </c>
      <c r="G73" t="s">
        <v>132</v>
      </c>
      <c r="H73">
        <v>0.40707639716666671</v>
      </c>
      <c r="I73">
        <v>7.8879451000000003E-2</v>
      </c>
      <c r="J73">
        <v>1.054602E-3</v>
      </c>
      <c r="K73">
        <v>6</v>
      </c>
    </row>
    <row r="74" spans="1:11">
      <c r="A74" s="11" t="s">
        <v>242</v>
      </c>
      <c r="B74">
        <v>0.31118893800000003</v>
      </c>
      <c r="C74">
        <v>0.27680254500000001</v>
      </c>
      <c r="D74">
        <v>1.4323348E-2</v>
      </c>
      <c r="E74">
        <v>1</v>
      </c>
      <c r="G74" t="s">
        <v>107</v>
      </c>
      <c r="H74">
        <v>0.40427863225000005</v>
      </c>
      <c r="I74">
        <v>7.1399999999999994E-11</v>
      </c>
      <c r="J74">
        <v>2.19E-14</v>
      </c>
      <c r="K74">
        <v>4</v>
      </c>
    </row>
    <row r="75" spans="1:11">
      <c r="A75" s="11" t="s">
        <v>243</v>
      </c>
      <c r="B75">
        <v>0.3632897055</v>
      </c>
      <c r="C75">
        <v>6.0076342999999997E-2</v>
      </c>
      <c r="D75">
        <v>5.0179200000000004E-4</v>
      </c>
      <c r="E75">
        <v>2</v>
      </c>
      <c r="G75" t="s">
        <v>102</v>
      </c>
      <c r="H75">
        <v>0.40279353170588245</v>
      </c>
      <c r="I75">
        <v>3.3191430000000001E-3</v>
      </c>
      <c r="J75">
        <v>4.07E-6</v>
      </c>
      <c r="K75">
        <v>17</v>
      </c>
    </row>
    <row r="76" spans="1:11">
      <c r="A76" s="11" t="s">
        <v>12</v>
      </c>
      <c r="B76">
        <v>1.7837626719999999</v>
      </c>
      <c r="C76">
        <v>0.29511029100000002</v>
      </c>
      <c r="D76">
        <v>2.0842506E-2</v>
      </c>
      <c r="E76">
        <v>1</v>
      </c>
      <c r="G76" t="s">
        <v>196</v>
      </c>
      <c r="H76">
        <v>0.39624176300000002</v>
      </c>
      <c r="I76">
        <v>0.30347431600000002</v>
      </c>
      <c r="J76">
        <v>2.2593216999999999E-2</v>
      </c>
      <c r="K76">
        <v>1</v>
      </c>
    </row>
    <row r="77" spans="1:11">
      <c r="A77" s="11" t="s">
        <v>237</v>
      </c>
      <c r="B77">
        <v>0.55781628000000005</v>
      </c>
      <c r="C77">
        <v>0.38295622699999998</v>
      </c>
      <c r="D77">
        <v>4.4858611999999999E-2</v>
      </c>
      <c r="E77">
        <v>1</v>
      </c>
      <c r="G77" t="s">
        <v>136</v>
      </c>
      <c r="H77">
        <v>0.39189389800000002</v>
      </c>
      <c r="I77">
        <v>7.8879451000000003E-2</v>
      </c>
      <c r="J77">
        <v>1.1599920000000001E-3</v>
      </c>
      <c r="K77">
        <v>1</v>
      </c>
    </row>
    <row r="78" spans="1:11">
      <c r="A78" s="11" t="s">
        <v>191</v>
      </c>
      <c r="B78">
        <v>0.16839893950000001</v>
      </c>
      <c r="C78">
        <v>0.122633324</v>
      </c>
      <c r="D78">
        <v>2.6675750000000002E-3</v>
      </c>
      <c r="E78">
        <v>2</v>
      </c>
      <c r="G78" t="s">
        <v>94</v>
      </c>
      <c r="H78">
        <v>0.38044501133333336</v>
      </c>
      <c r="I78">
        <v>0.29511029100000002</v>
      </c>
      <c r="J78">
        <v>2.0714511000000001E-2</v>
      </c>
      <c r="K78">
        <v>3</v>
      </c>
    </row>
    <row r="79" spans="1:11">
      <c r="A79" s="11" t="s">
        <v>40</v>
      </c>
      <c r="B79">
        <v>1.1456113406666668</v>
      </c>
      <c r="C79">
        <v>0.26449464700000003</v>
      </c>
      <c r="D79">
        <v>1.2641288000000001E-2</v>
      </c>
      <c r="E79">
        <v>3</v>
      </c>
      <c r="G79" t="s">
        <v>244</v>
      </c>
      <c r="H79">
        <v>0.37497959199999997</v>
      </c>
      <c r="I79">
        <v>0.29045016200000001</v>
      </c>
      <c r="J79">
        <v>1.9843868000000001E-2</v>
      </c>
      <c r="K79">
        <v>1</v>
      </c>
    </row>
    <row r="80" spans="1:11">
      <c r="A80" s="11" t="s">
        <v>34</v>
      </c>
      <c r="B80">
        <v>1.460811697</v>
      </c>
      <c r="C80">
        <v>0.27680254500000001</v>
      </c>
      <c r="D80">
        <v>1.6612279000000001E-2</v>
      </c>
      <c r="E80">
        <v>1</v>
      </c>
      <c r="G80" t="s">
        <v>166</v>
      </c>
      <c r="H80">
        <v>0.37372511900000005</v>
      </c>
      <c r="I80">
        <v>6.3502189000000001E-2</v>
      </c>
      <c r="J80">
        <v>7.3930199999999995E-4</v>
      </c>
      <c r="K80">
        <v>10</v>
      </c>
    </row>
    <row r="81" spans="1:11">
      <c r="A81" s="11" t="s">
        <v>35</v>
      </c>
      <c r="B81">
        <v>1.460811697</v>
      </c>
      <c r="C81">
        <v>0.27680254500000001</v>
      </c>
      <c r="D81">
        <v>1.6612279000000001E-2</v>
      </c>
      <c r="E81">
        <v>1</v>
      </c>
      <c r="G81" t="s">
        <v>116</v>
      </c>
      <c r="H81">
        <v>0.37101625900000001</v>
      </c>
      <c r="I81">
        <v>0.18190800200000001</v>
      </c>
      <c r="J81">
        <v>6.3197380000000001E-3</v>
      </c>
      <c r="K81">
        <v>1</v>
      </c>
    </row>
    <row r="82" spans="1:11">
      <c r="A82" s="11" t="s">
        <v>129</v>
      </c>
      <c r="B82">
        <v>0.79001459372727278</v>
      </c>
      <c r="C82">
        <v>6.2066629999999998E-2</v>
      </c>
      <c r="D82">
        <v>6.4479700000000001E-4</v>
      </c>
      <c r="E82">
        <v>11</v>
      </c>
      <c r="G82" t="s">
        <v>111</v>
      </c>
      <c r="H82">
        <v>0.36896795720000009</v>
      </c>
      <c r="I82">
        <v>0.19443305699999999</v>
      </c>
      <c r="J82">
        <v>7.406045E-3</v>
      </c>
      <c r="K82">
        <v>5</v>
      </c>
    </row>
    <row r="83" spans="1:11">
      <c r="A83" s="11" t="s">
        <v>143</v>
      </c>
      <c r="B83">
        <v>0.44908401683333343</v>
      </c>
      <c r="C83">
        <v>0.105513645</v>
      </c>
      <c r="D83">
        <v>2.1292429999999998E-3</v>
      </c>
      <c r="E83">
        <v>6</v>
      </c>
      <c r="G83" t="s">
        <v>161</v>
      </c>
      <c r="H83">
        <v>0.36765385899999997</v>
      </c>
      <c r="I83">
        <v>0.34326722700000001</v>
      </c>
      <c r="J83">
        <v>3.0367069999999999E-2</v>
      </c>
      <c r="K83">
        <v>2</v>
      </c>
    </row>
    <row r="84" spans="1:11">
      <c r="A84" s="11" t="s">
        <v>18</v>
      </c>
      <c r="B84">
        <v>1.0915424893333332</v>
      </c>
      <c r="C84">
        <v>3.6761463000000001E-2</v>
      </c>
      <c r="D84">
        <v>2.47779E-4</v>
      </c>
      <c r="E84">
        <v>3</v>
      </c>
      <c r="G84" t="s">
        <v>243</v>
      </c>
      <c r="H84">
        <v>0.3632897055</v>
      </c>
      <c r="I84">
        <v>6.0076342999999997E-2</v>
      </c>
      <c r="J84">
        <v>5.0179200000000004E-4</v>
      </c>
      <c r="K84">
        <v>2</v>
      </c>
    </row>
    <row r="85" spans="1:11">
      <c r="A85" s="11" t="s">
        <v>116</v>
      </c>
      <c r="B85">
        <v>0.37101625900000001</v>
      </c>
      <c r="C85">
        <v>0.18190800200000001</v>
      </c>
      <c r="D85">
        <v>6.3197380000000001E-3</v>
      </c>
      <c r="E85">
        <v>1</v>
      </c>
      <c r="G85" t="s">
        <v>99</v>
      </c>
      <c r="H85">
        <v>0.35467345333333328</v>
      </c>
      <c r="I85">
        <v>0.15847360599999999</v>
      </c>
      <c r="J85">
        <v>4.3696769999999998E-3</v>
      </c>
      <c r="K85">
        <v>6</v>
      </c>
    </row>
    <row r="86" spans="1:11">
      <c r="A86" s="11" t="s">
        <v>245</v>
      </c>
      <c r="B86">
        <v>0.120172019</v>
      </c>
      <c r="C86">
        <v>0.28534754800000001</v>
      </c>
      <c r="D86">
        <v>1.9180414E-2</v>
      </c>
      <c r="E86">
        <v>1</v>
      </c>
      <c r="G86" t="s">
        <v>101</v>
      </c>
      <c r="H86">
        <v>0.34338335080000004</v>
      </c>
      <c r="I86">
        <v>2.1850936000000001E-2</v>
      </c>
      <c r="J86">
        <v>1.07112E-4</v>
      </c>
      <c r="K86">
        <v>15</v>
      </c>
    </row>
    <row r="87" spans="1:11">
      <c r="A87" s="11" t="s">
        <v>150</v>
      </c>
      <c r="B87">
        <v>0.63175772799999996</v>
      </c>
      <c r="C87">
        <v>0.340361472</v>
      </c>
      <c r="D87">
        <v>2.9301952999999999E-2</v>
      </c>
      <c r="E87">
        <v>1</v>
      </c>
      <c r="G87" t="s">
        <v>199</v>
      </c>
      <c r="H87">
        <v>0.337022875</v>
      </c>
      <c r="I87">
        <v>0.27680254500000001</v>
      </c>
      <c r="J87">
        <v>1.5939239000000001E-2</v>
      </c>
      <c r="K87">
        <v>1</v>
      </c>
    </row>
    <row r="88" spans="1:11">
      <c r="A88" s="11" t="s">
        <v>229</v>
      </c>
      <c r="B88">
        <v>0.766268536</v>
      </c>
      <c r="C88">
        <v>0.378150245</v>
      </c>
      <c r="D88">
        <v>3.9909187999999998E-2</v>
      </c>
      <c r="E88">
        <v>1</v>
      </c>
      <c r="G88" t="s">
        <v>149</v>
      </c>
      <c r="H88">
        <v>0.32975549583333336</v>
      </c>
      <c r="I88">
        <v>0.27680254500000001</v>
      </c>
      <c r="J88">
        <v>1.3831421E-2</v>
      </c>
      <c r="K88">
        <v>6</v>
      </c>
    </row>
    <row r="89" spans="1:11">
      <c r="A89" s="11" t="s">
        <v>190</v>
      </c>
      <c r="B89">
        <v>0.45272324966666666</v>
      </c>
      <c r="C89">
        <v>0.27680254500000001</v>
      </c>
      <c r="D89">
        <v>1.5187633000000001E-2</v>
      </c>
      <c r="E89">
        <v>3</v>
      </c>
      <c r="G89" t="s">
        <v>170</v>
      </c>
      <c r="H89">
        <v>0.3270055865</v>
      </c>
      <c r="I89">
        <v>2.0788244000000001E-2</v>
      </c>
      <c r="J89">
        <v>9.5500000000000004E-5</v>
      </c>
      <c r="K89">
        <v>12</v>
      </c>
    </row>
    <row r="90" spans="1:11">
      <c r="A90" s="11" t="s">
        <v>157</v>
      </c>
      <c r="B90">
        <v>0.53708767899999998</v>
      </c>
      <c r="C90">
        <v>0.27680254500000001</v>
      </c>
      <c r="D90">
        <v>1.5496443E-2</v>
      </c>
      <c r="E90">
        <v>1</v>
      </c>
      <c r="G90" t="s">
        <v>177</v>
      </c>
      <c r="H90">
        <v>0.32417559000000001</v>
      </c>
      <c r="I90">
        <v>0.34326722700000001</v>
      </c>
      <c r="J90">
        <v>3.0454979E-2</v>
      </c>
      <c r="K90">
        <v>1</v>
      </c>
    </row>
    <row r="91" spans="1:11">
      <c r="A91" s="11" t="s">
        <v>179</v>
      </c>
      <c r="B91">
        <v>0.60365717799999996</v>
      </c>
      <c r="C91">
        <v>7.8879451000000003E-2</v>
      </c>
      <c r="D91">
        <v>1.1264230000000001E-3</v>
      </c>
      <c r="E91">
        <v>1</v>
      </c>
      <c r="G91" t="s">
        <v>181</v>
      </c>
      <c r="H91">
        <v>0.31118893800000003</v>
      </c>
      <c r="I91">
        <v>0.27680254500000001</v>
      </c>
      <c r="J91">
        <v>1.4323348E-2</v>
      </c>
      <c r="K91">
        <v>1</v>
      </c>
    </row>
    <row r="92" spans="1:11">
      <c r="A92" s="11" t="s">
        <v>186</v>
      </c>
      <c r="B92">
        <v>0.53459901099999996</v>
      </c>
      <c r="C92">
        <v>0.207697786</v>
      </c>
      <c r="D92">
        <v>8.5268089999999998E-3</v>
      </c>
      <c r="E92">
        <v>1</v>
      </c>
      <c r="G92" t="s">
        <v>242</v>
      </c>
      <c r="H92">
        <v>0.31118893800000003</v>
      </c>
      <c r="I92">
        <v>0.27680254500000001</v>
      </c>
      <c r="J92">
        <v>1.4323348E-2</v>
      </c>
      <c r="K92">
        <v>1</v>
      </c>
    </row>
    <row r="93" spans="1:11">
      <c r="A93" s="11" t="s">
        <v>147</v>
      </c>
      <c r="B93">
        <v>0.7294822406</v>
      </c>
      <c r="C93">
        <v>6.2066629999999998E-2</v>
      </c>
      <c r="D93">
        <v>5.91988E-4</v>
      </c>
      <c r="E93">
        <v>5</v>
      </c>
      <c r="G93" t="s">
        <v>115</v>
      </c>
      <c r="H93">
        <v>0.30127928300000001</v>
      </c>
      <c r="I93">
        <v>0.378150245</v>
      </c>
      <c r="J93">
        <v>4.1922202999999998E-2</v>
      </c>
      <c r="K93">
        <v>1</v>
      </c>
    </row>
    <row r="94" spans="1:11">
      <c r="A94" s="11" t="s">
        <v>15</v>
      </c>
      <c r="B94">
        <v>0.60365717799999996</v>
      </c>
      <c r="C94">
        <v>7.8879451000000003E-2</v>
      </c>
      <c r="D94">
        <v>1.1264230000000001E-3</v>
      </c>
      <c r="E94">
        <v>1</v>
      </c>
      <c r="G94" t="s">
        <v>176</v>
      </c>
      <c r="H94">
        <v>0.295270492</v>
      </c>
      <c r="I94">
        <v>0.38295622699999998</v>
      </c>
      <c r="J94">
        <v>4.4603911000000003E-2</v>
      </c>
      <c r="K94">
        <v>1</v>
      </c>
    </row>
    <row r="95" spans="1:11">
      <c r="A95" s="11" t="s">
        <v>31</v>
      </c>
      <c r="B95">
        <v>1.4040202788333334</v>
      </c>
      <c r="C95">
        <v>6.2066629999999998E-2</v>
      </c>
      <c r="D95">
        <v>6.4652700000000004E-4</v>
      </c>
      <c r="E95">
        <v>6</v>
      </c>
      <c r="G95" t="s">
        <v>109</v>
      </c>
      <c r="H95">
        <v>0.294211868125</v>
      </c>
      <c r="I95">
        <v>5.6601652000000002E-2</v>
      </c>
      <c r="J95">
        <v>4.1618900000000002E-4</v>
      </c>
      <c r="K95">
        <v>8</v>
      </c>
    </row>
    <row r="96" spans="1:11">
      <c r="A96" s="11" t="s">
        <v>110</v>
      </c>
      <c r="B96">
        <v>0.65761934200000005</v>
      </c>
      <c r="C96">
        <v>0.29181596100000001</v>
      </c>
      <c r="D96">
        <v>2.0215205E-2</v>
      </c>
      <c r="E96">
        <v>1</v>
      </c>
      <c r="G96" t="s">
        <v>182</v>
      </c>
      <c r="H96">
        <v>0.29057196200000002</v>
      </c>
      <c r="I96">
        <v>0.307609735</v>
      </c>
      <c r="J96">
        <v>2.3985225999999998E-2</v>
      </c>
      <c r="K96">
        <v>2</v>
      </c>
    </row>
    <row r="97" spans="1:11">
      <c r="A97" s="11" t="s">
        <v>198</v>
      </c>
      <c r="B97">
        <v>9.5130269000000003E-2</v>
      </c>
      <c r="C97">
        <v>0.34758510199999998</v>
      </c>
      <c r="D97">
        <v>3.2144638000000003E-2</v>
      </c>
      <c r="E97">
        <v>1</v>
      </c>
      <c r="G97" t="s">
        <v>127</v>
      </c>
      <c r="H97">
        <v>0.28872308422222226</v>
      </c>
      <c r="I97">
        <v>0.13850616399999999</v>
      </c>
      <c r="J97">
        <v>3.3523239999999998E-3</v>
      </c>
      <c r="K97">
        <v>9</v>
      </c>
    </row>
    <row r="98" spans="1:11">
      <c r="A98" s="11" t="s">
        <v>37</v>
      </c>
      <c r="B98">
        <v>1.2347232420000001</v>
      </c>
      <c r="C98">
        <v>8.0360676000000006E-2</v>
      </c>
      <c r="D98">
        <v>1.32581E-3</v>
      </c>
      <c r="E98">
        <v>1</v>
      </c>
      <c r="G98" t="s">
        <v>163</v>
      </c>
      <c r="H98">
        <v>0.2867289380000001</v>
      </c>
      <c r="I98">
        <v>0.14357987799999999</v>
      </c>
      <c r="J98">
        <v>3.726147E-3</v>
      </c>
      <c r="K98">
        <v>5</v>
      </c>
    </row>
    <row r="99" spans="1:11">
      <c r="A99" s="11" t="s">
        <v>38</v>
      </c>
      <c r="B99">
        <v>1.2347232420000001</v>
      </c>
      <c r="C99">
        <v>8.0360676000000006E-2</v>
      </c>
      <c r="D99">
        <v>1.32581E-3</v>
      </c>
      <c r="E99">
        <v>1</v>
      </c>
      <c r="G99" t="s">
        <v>104</v>
      </c>
      <c r="H99">
        <v>0.28442317242857146</v>
      </c>
      <c r="I99">
        <v>0.16001879099999999</v>
      </c>
      <c r="J99">
        <v>4.9025370000000002E-3</v>
      </c>
      <c r="K99">
        <v>7</v>
      </c>
    </row>
    <row r="100" spans="1:11">
      <c r="A100" s="11" t="s">
        <v>112</v>
      </c>
      <c r="B100">
        <v>0.55942114600000004</v>
      </c>
      <c r="C100">
        <v>0.111691388</v>
      </c>
      <c r="D100">
        <v>2.292685E-3</v>
      </c>
      <c r="E100">
        <v>1</v>
      </c>
      <c r="G100" t="s">
        <v>235</v>
      </c>
      <c r="H100">
        <v>0.28325594600000004</v>
      </c>
      <c r="I100">
        <v>0.27680254500000001</v>
      </c>
      <c r="J100">
        <v>1.7031465999999999E-2</v>
      </c>
      <c r="K100">
        <v>2</v>
      </c>
    </row>
    <row r="101" spans="1:11">
      <c r="A101" s="11" t="s">
        <v>108</v>
      </c>
      <c r="B101">
        <v>0.47213326999999999</v>
      </c>
      <c r="C101">
        <v>0.26449464700000003</v>
      </c>
      <c r="D101">
        <v>1.2641288000000001E-2</v>
      </c>
      <c r="E101">
        <v>1</v>
      </c>
      <c r="G101" t="s">
        <v>98</v>
      </c>
      <c r="H101">
        <v>0.26486825749999998</v>
      </c>
      <c r="I101">
        <v>0.28003235799999998</v>
      </c>
      <c r="J101">
        <v>1.8227243000000001E-2</v>
      </c>
      <c r="K101">
        <v>2</v>
      </c>
    </row>
    <row r="102" spans="1:11">
      <c r="A102" s="11" t="s">
        <v>203</v>
      </c>
      <c r="B102">
        <v>0.70059903000000001</v>
      </c>
      <c r="C102">
        <v>0.19746267200000001</v>
      </c>
      <c r="D102">
        <v>7.8108889999999997E-3</v>
      </c>
      <c r="E102">
        <v>2</v>
      </c>
      <c r="G102" t="s">
        <v>223</v>
      </c>
      <c r="H102">
        <v>0.26089019399999996</v>
      </c>
      <c r="I102">
        <v>0.30495237400000003</v>
      </c>
      <c r="J102">
        <v>2.2983542999999999E-2</v>
      </c>
      <c r="K102">
        <v>3</v>
      </c>
    </row>
    <row r="103" spans="1:11">
      <c r="A103" s="11" t="s">
        <v>36</v>
      </c>
      <c r="B103">
        <v>1.3876931045000001</v>
      </c>
      <c r="C103">
        <v>4.2756036999999997E-2</v>
      </c>
      <c r="D103">
        <v>3.0128300000000001E-4</v>
      </c>
      <c r="E103">
        <v>2</v>
      </c>
      <c r="G103" t="s">
        <v>96</v>
      </c>
      <c r="H103">
        <v>0.25987632560000001</v>
      </c>
      <c r="I103">
        <v>0.17117149400000001</v>
      </c>
      <c r="J103">
        <v>5.5588779999999997E-3</v>
      </c>
      <c r="K103">
        <v>5</v>
      </c>
    </row>
    <row r="104" spans="1:11">
      <c r="A104" s="11" t="s">
        <v>228</v>
      </c>
      <c r="B104">
        <v>0.77294287699999997</v>
      </c>
      <c r="C104">
        <v>0.27680254500000001</v>
      </c>
      <c r="D104">
        <v>1.6612279000000001E-2</v>
      </c>
      <c r="E104">
        <v>4</v>
      </c>
      <c r="G104" t="s">
        <v>236</v>
      </c>
      <c r="H104">
        <v>0.25285805099999997</v>
      </c>
      <c r="I104">
        <v>8.0360676000000006E-2</v>
      </c>
      <c r="J104">
        <v>1.2157100000000001E-3</v>
      </c>
      <c r="K104">
        <v>1</v>
      </c>
    </row>
    <row r="105" spans="1:11">
      <c r="A105" s="11" t="s">
        <v>39</v>
      </c>
      <c r="B105">
        <v>1.2300415120000001</v>
      </c>
      <c r="C105">
        <v>6.2066629999999998E-2</v>
      </c>
      <c r="D105">
        <v>6.4479700000000001E-4</v>
      </c>
      <c r="E105">
        <v>2</v>
      </c>
      <c r="G105" t="s">
        <v>205</v>
      </c>
      <c r="H105">
        <v>0.25235372133333334</v>
      </c>
      <c r="I105">
        <v>0.15950623</v>
      </c>
      <c r="J105">
        <v>4.740228E-3</v>
      </c>
      <c r="K105">
        <v>3</v>
      </c>
    </row>
    <row r="106" spans="1:11">
      <c r="A106" s="11" t="s">
        <v>232</v>
      </c>
      <c r="B106">
        <v>0.62007593250000004</v>
      </c>
      <c r="C106">
        <v>0.29511029100000002</v>
      </c>
      <c r="D106">
        <v>2.1337630999999999E-2</v>
      </c>
      <c r="E106">
        <v>2</v>
      </c>
      <c r="G106" t="s">
        <v>151</v>
      </c>
      <c r="H106">
        <v>0.23862835700000001</v>
      </c>
      <c r="I106">
        <v>0.29093922900000002</v>
      </c>
      <c r="J106">
        <v>1.9966418E-2</v>
      </c>
      <c r="K106">
        <v>2</v>
      </c>
    </row>
    <row r="107" spans="1:11">
      <c r="A107" s="11" t="s">
        <v>193</v>
      </c>
      <c r="B107">
        <v>1.0372320269999999</v>
      </c>
      <c r="C107">
        <v>0.27680254500000001</v>
      </c>
      <c r="D107">
        <v>1.6612279000000001E-2</v>
      </c>
      <c r="E107">
        <v>2</v>
      </c>
      <c r="G107" t="s">
        <v>121</v>
      </c>
      <c r="H107">
        <v>0.23275863975</v>
      </c>
      <c r="I107">
        <v>8.0360676000000006E-2</v>
      </c>
      <c r="J107">
        <v>1.3294960000000001E-3</v>
      </c>
      <c r="K107">
        <v>4</v>
      </c>
    </row>
    <row r="108" spans="1:11">
      <c r="A108" s="11" t="s">
        <v>199</v>
      </c>
      <c r="B108">
        <v>0.337022875</v>
      </c>
      <c r="C108">
        <v>0.27680254500000001</v>
      </c>
      <c r="D108">
        <v>1.5939239000000001E-2</v>
      </c>
      <c r="E108">
        <v>1</v>
      </c>
      <c r="G108" t="s">
        <v>171</v>
      </c>
      <c r="H108">
        <v>0.22456358133333332</v>
      </c>
      <c r="I108">
        <v>0.307609735</v>
      </c>
      <c r="J108">
        <v>2.3493377999999999E-2</v>
      </c>
      <c r="K108">
        <v>3</v>
      </c>
    </row>
    <row r="109" spans="1:11">
      <c r="A109" s="11" t="s">
        <v>161</v>
      </c>
      <c r="B109">
        <v>0.36765385899999997</v>
      </c>
      <c r="C109">
        <v>0.34326722700000001</v>
      </c>
      <c r="D109">
        <v>3.0367069999999999E-2</v>
      </c>
      <c r="E109">
        <v>2</v>
      </c>
      <c r="G109" t="s">
        <v>204</v>
      </c>
      <c r="H109">
        <v>0.21560759700000001</v>
      </c>
      <c r="I109">
        <v>0.18190800200000001</v>
      </c>
      <c r="J109">
        <v>6.388721E-3</v>
      </c>
      <c r="K109">
        <v>1</v>
      </c>
    </row>
    <row r="110" spans="1:11">
      <c r="A110" s="11" t="s">
        <v>155</v>
      </c>
      <c r="B110">
        <v>0.5674709805</v>
      </c>
      <c r="C110">
        <v>0.13022552600000001</v>
      </c>
      <c r="D110">
        <v>3.0721099999999999E-3</v>
      </c>
      <c r="E110">
        <v>2</v>
      </c>
      <c r="G110" t="s">
        <v>191</v>
      </c>
      <c r="H110">
        <v>0.16839893950000001</v>
      </c>
      <c r="I110">
        <v>0.122633324</v>
      </c>
      <c r="J110">
        <v>2.6675750000000002E-3</v>
      </c>
      <c r="K110">
        <v>2</v>
      </c>
    </row>
    <row r="111" spans="1:11">
      <c r="A111" s="11" t="s">
        <v>244</v>
      </c>
      <c r="B111">
        <v>0.37497959199999997</v>
      </c>
      <c r="C111">
        <v>0.29045016200000001</v>
      </c>
      <c r="D111">
        <v>1.9843868000000001E-2</v>
      </c>
      <c r="E111">
        <v>1</v>
      </c>
      <c r="G111" t="s">
        <v>123</v>
      </c>
      <c r="H111">
        <v>0.159497521</v>
      </c>
      <c r="I111">
        <v>0.38906939099999999</v>
      </c>
      <c r="J111">
        <v>4.7983990999999997E-2</v>
      </c>
      <c r="K111">
        <v>1</v>
      </c>
    </row>
    <row r="112" spans="1:11">
      <c r="A112" s="11" t="s">
        <v>163</v>
      </c>
      <c r="B112">
        <v>0.2867289380000001</v>
      </c>
      <c r="C112">
        <v>0.14357987799999999</v>
      </c>
      <c r="D112">
        <v>3.726147E-3</v>
      </c>
      <c r="E112">
        <v>5</v>
      </c>
      <c r="G112" t="s">
        <v>92</v>
      </c>
      <c r="H112">
        <v>0.15754610350000001</v>
      </c>
      <c r="I112">
        <v>8.2185800000000003E-2</v>
      </c>
      <c r="J112">
        <v>1.510768E-3</v>
      </c>
      <c r="K112">
        <v>6</v>
      </c>
    </row>
    <row r="113" spans="1:11">
      <c r="A113" s="11" t="s">
        <v>233</v>
      </c>
      <c r="B113">
        <v>0.61365235699999998</v>
      </c>
      <c r="C113">
        <v>0.29511029100000002</v>
      </c>
      <c r="D113">
        <v>2.1337630999999999E-2</v>
      </c>
      <c r="E113">
        <v>1</v>
      </c>
      <c r="G113" t="s">
        <v>185</v>
      </c>
      <c r="H113">
        <v>0.14890024716666669</v>
      </c>
      <c r="I113">
        <v>0.21240772999999999</v>
      </c>
      <c r="J113">
        <v>8.785246E-3</v>
      </c>
      <c r="K113">
        <v>6</v>
      </c>
    </row>
    <row r="114" spans="1:11">
      <c r="A114" s="11" t="s">
        <v>169</v>
      </c>
      <c r="B114">
        <v>0.54966521144444447</v>
      </c>
      <c r="C114">
        <v>6.0076342999999997E-2</v>
      </c>
      <c r="D114">
        <v>4.95923E-4</v>
      </c>
      <c r="E114">
        <v>9</v>
      </c>
      <c r="G114" t="s">
        <v>100</v>
      </c>
      <c r="H114">
        <v>0.14193545450000011</v>
      </c>
      <c r="I114">
        <v>9.4080800000000001E-4</v>
      </c>
      <c r="J114">
        <v>5.7599999999999997E-7</v>
      </c>
      <c r="K114">
        <v>2</v>
      </c>
    </row>
    <row r="115" spans="1:11">
      <c r="A115" s="11" t="s">
        <v>204</v>
      </c>
      <c r="B115">
        <v>0.21560759700000001</v>
      </c>
      <c r="C115">
        <v>0.18190800200000001</v>
      </c>
      <c r="D115">
        <v>6.388721E-3</v>
      </c>
      <c r="E115">
        <v>1</v>
      </c>
      <c r="G115" t="s">
        <v>226</v>
      </c>
      <c r="H115">
        <v>0.13829385299999999</v>
      </c>
      <c r="I115">
        <v>0.29045016200000001</v>
      </c>
      <c r="J115">
        <v>1.9755755999999999E-2</v>
      </c>
      <c r="K115">
        <v>1</v>
      </c>
    </row>
    <row r="116" spans="1:11">
      <c r="A116" s="11" t="s">
        <v>227</v>
      </c>
      <c r="B116">
        <v>0.95616523666666675</v>
      </c>
      <c r="C116">
        <v>2.8941518999999999E-2</v>
      </c>
      <c r="D116">
        <v>1.6847100000000001E-4</v>
      </c>
      <c r="E116">
        <v>3</v>
      </c>
      <c r="G116" t="s">
        <v>241</v>
      </c>
      <c r="H116">
        <v>0.125474538</v>
      </c>
      <c r="I116">
        <v>0.307609735</v>
      </c>
      <c r="J116">
        <v>2.4314740000000001E-2</v>
      </c>
      <c r="K116">
        <v>1</v>
      </c>
    </row>
    <row r="117" spans="1:11">
      <c r="A117" s="11" t="s">
        <v>240</v>
      </c>
      <c r="B117">
        <v>0.48807445500000002</v>
      </c>
      <c r="C117">
        <v>0.12599306599999999</v>
      </c>
      <c r="D117">
        <v>2.9336620000000001E-3</v>
      </c>
      <c r="E117">
        <v>2</v>
      </c>
      <c r="G117" t="s">
        <v>245</v>
      </c>
      <c r="H117">
        <v>0.120172019</v>
      </c>
      <c r="I117">
        <v>0.28534754800000001</v>
      </c>
      <c r="J117">
        <v>1.9180414E-2</v>
      </c>
      <c r="K117">
        <v>1</v>
      </c>
    </row>
    <row r="118" spans="1:11">
      <c r="A118" s="11" t="s">
        <v>176</v>
      </c>
      <c r="B118">
        <v>0.295270492</v>
      </c>
      <c r="C118">
        <v>0.38295622699999998</v>
      </c>
      <c r="D118">
        <v>4.4603911000000003E-2</v>
      </c>
      <c r="E118">
        <v>1</v>
      </c>
      <c r="G118" t="s">
        <v>175</v>
      </c>
      <c r="H118">
        <v>0.119869799</v>
      </c>
      <c r="I118">
        <v>0.27680254500000001</v>
      </c>
      <c r="J118">
        <v>1.5769885000000001E-2</v>
      </c>
      <c r="K118">
        <v>1</v>
      </c>
    </row>
    <row r="119" spans="1:11">
      <c r="A119" s="11" t="s">
        <v>196</v>
      </c>
      <c r="B119">
        <v>0.39624176300000002</v>
      </c>
      <c r="C119">
        <v>0.30347431600000002</v>
      </c>
      <c r="D119">
        <v>2.2593216999999999E-2</v>
      </c>
      <c r="E119">
        <v>1</v>
      </c>
      <c r="G119" t="s">
        <v>146</v>
      </c>
      <c r="H119">
        <v>0.10960313200000014</v>
      </c>
      <c r="I119">
        <v>0.19746267200000001</v>
      </c>
      <c r="J119">
        <v>7.6392209999999999E-3</v>
      </c>
      <c r="K119">
        <v>3</v>
      </c>
    </row>
    <row r="120" spans="1:11">
      <c r="A120" s="11" t="s">
        <v>205</v>
      </c>
      <c r="B120">
        <v>0.25235372133333334</v>
      </c>
      <c r="C120">
        <v>0.15950623</v>
      </c>
      <c r="D120">
        <v>4.740228E-3</v>
      </c>
      <c r="E120">
        <v>3</v>
      </c>
      <c r="G120" t="s">
        <v>198</v>
      </c>
      <c r="H120">
        <v>9.5130269000000003E-2</v>
      </c>
      <c r="I120">
        <v>0.34758510199999998</v>
      </c>
      <c r="J120">
        <v>3.2144638000000003E-2</v>
      </c>
      <c r="K120">
        <v>1</v>
      </c>
    </row>
    <row r="121" spans="1:11">
      <c r="A121" s="11" t="s">
        <v>238</v>
      </c>
      <c r="B121">
        <v>0.51606534474999999</v>
      </c>
      <c r="C121">
        <v>6.0076342999999997E-2</v>
      </c>
      <c r="D121">
        <v>4.95923E-4</v>
      </c>
      <c r="E121">
        <v>4</v>
      </c>
      <c r="G121" t="s">
        <v>224</v>
      </c>
      <c r="H121">
        <v>8.2725341999999993E-2</v>
      </c>
      <c r="I121">
        <v>0.18836525800000001</v>
      </c>
      <c r="J121">
        <v>7.0406130000000003E-3</v>
      </c>
      <c r="K121">
        <v>1</v>
      </c>
    </row>
    <row r="122" spans="1:11">
      <c r="A122" s="11" t="s">
        <v>208</v>
      </c>
      <c r="B122">
        <v>0.58510593399999999</v>
      </c>
      <c r="C122">
        <v>6.0076342999999997E-2</v>
      </c>
      <c r="D122">
        <v>5.4062499999999998E-4</v>
      </c>
      <c r="E122">
        <v>2</v>
      </c>
      <c r="G122" t="s">
        <v>95</v>
      </c>
      <c r="H122">
        <v>7.6692789999999997E-2</v>
      </c>
      <c r="I122">
        <v>0.37265267600000002</v>
      </c>
      <c r="J122">
        <v>3.6534575999999999E-2</v>
      </c>
      <c r="K122">
        <v>1</v>
      </c>
    </row>
    <row r="123" spans="1:11">
      <c r="A123" s="11" t="s">
        <v>197</v>
      </c>
      <c r="B123">
        <v>0.53208558549999996</v>
      </c>
      <c r="C123">
        <v>0.27760357099999999</v>
      </c>
      <c r="D123">
        <v>1.7775473999999999E-2</v>
      </c>
      <c r="E123">
        <v>2</v>
      </c>
      <c r="G123" t="s">
        <v>164</v>
      </c>
      <c r="H123">
        <v>7.6602689500000182E-2</v>
      </c>
      <c r="I123">
        <v>1.0582642999999999E-2</v>
      </c>
      <c r="J123">
        <v>2.2500000000000001E-5</v>
      </c>
      <c r="K123">
        <v>2</v>
      </c>
    </row>
    <row r="124" spans="1:11">
      <c r="A124" s="11" t="s">
        <v>201</v>
      </c>
      <c r="B124">
        <v>0.59658199599999995</v>
      </c>
      <c r="C124">
        <v>0.111782258</v>
      </c>
      <c r="D124">
        <v>2.3630439999999999E-3</v>
      </c>
      <c r="E124">
        <v>1</v>
      </c>
      <c r="G124" t="s">
        <v>174</v>
      </c>
      <c r="H124">
        <v>6.5468288500000082E-2</v>
      </c>
      <c r="I124">
        <v>1.5095001E-2</v>
      </c>
      <c r="J124">
        <v>5.5500000000000001E-5</v>
      </c>
      <c r="K124">
        <v>2</v>
      </c>
    </row>
    <row r="125" spans="1:11">
      <c r="A125" s="11" t="s">
        <v>21</v>
      </c>
      <c r="B125">
        <v>0.79060438600000005</v>
      </c>
      <c r="C125">
        <v>0.38608615600000001</v>
      </c>
      <c r="D125">
        <v>4.6841334999999998E-2</v>
      </c>
      <c r="E125">
        <v>1</v>
      </c>
      <c r="G125" t="s">
        <v>162</v>
      </c>
      <c r="H125">
        <v>3.986158600000006E-2</v>
      </c>
      <c r="I125">
        <v>3.6761463000000001E-2</v>
      </c>
      <c r="J125">
        <v>2.43861E-4</v>
      </c>
      <c r="K125">
        <v>2</v>
      </c>
    </row>
    <row r="126" spans="1:11">
      <c r="A126" s="11" t="s">
        <v>120</v>
      </c>
      <c r="B126">
        <v>0.74715083733333332</v>
      </c>
      <c r="C126">
        <v>0.16757201399999999</v>
      </c>
      <c r="D126">
        <v>5.390644E-3</v>
      </c>
      <c r="E126">
        <v>3</v>
      </c>
      <c r="G126" t="s">
        <v>234</v>
      </c>
      <c r="H126">
        <v>2.9691599999999998E-16</v>
      </c>
      <c r="I126">
        <v>3.0784229999999999E-2</v>
      </c>
      <c r="J126">
        <v>1.88629E-4</v>
      </c>
      <c r="K126">
        <v>1</v>
      </c>
    </row>
    <row r="127" spans="1:11">
      <c r="A127" s="11" t="s">
        <v>131</v>
      </c>
      <c r="B127">
        <v>1.0999838215</v>
      </c>
      <c r="C127">
        <v>0.27680254500000001</v>
      </c>
      <c r="D127">
        <v>1.4959413E-2</v>
      </c>
      <c r="E127">
        <v>2</v>
      </c>
      <c r="G127" t="s">
        <v>93</v>
      </c>
      <c r="H127">
        <v>1.9198100000000001E-16</v>
      </c>
      <c r="I127">
        <v>0.18190800200000001</v>
      </c>
      <c r="J127">
        <v>5.9641169999999997E-3</v>
      </c>
      <c r="K127">
        <v>1</v>
      </c>
    </row>
    <row r="128" spans="1:11">
      <c r="A128" s="11" t="s">
        <v>41</v>
      </c>
      <c r="B128">
        <v>1.1086169769999998</v>
      </c>
      <c r="C128">
        <v>0.13226236299999999</v>
      </c>
      <c r="D128">
        <v>3.1606809999999998E-3</v>
      </c>
      <c r="E128">
        <v>3</v>
      </c>
      <c r="G128" t="s">
        <v>239</v>
      </c>
      <c r="H128">
        <v>5.3916299999999997E-17</v>
      </c>
      <c r="I128">
        <v>0.38295622699999998</v>
      </c>
      <c r="J128">
        <v>4.6198452000000001E-2</v>
      </c>
      <c r="K128">
        <v>1</v>
      </c>
    </row>
    <row r="129" spans="1:5">
      <c r="A129" s="11" t="s">
        <v>210</v>
      </c>
      <c r="B129">
        <v>0.48667536956234708</v>
      </c>
      <c r="C129">
        <v>7.1399999999999994E-11</v>
      </c>
      <c r="D129">
        <v>2.19E-14</v>
      </c>
      <c r="E129">
        <v>409</v>
      </c>
    </row>
  </sheetData>
  <autoFilter ref="G3:K129" xr:uid="{D349D733-FC42-4060-9204-A1AE61538D3C}">
    <sortState xmlns:xlrd2="http://schemas.microsoft.com/office/spreadsheetml/2017/richdata2" ref="G4:K129">
      <sortCondition descending="1" ref="H3:H12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F301-B15B-46F9-BA55-77E70FDB0EDC}">
  <dimension ref="A1:Q462"/>
  <sheetViews>
    <sheetView tabSelected="1" zoomScaleNormal="100" workbookViewId="0">
      <selection sqref="A1:I459"/>
    </sheetView>
  </sheetViews>
  <sheetFormatPr defaultRowHeight="14.45"/>
  <cols>
    <col min="1" max="1" width="14.42578125" bestFit="1" customWidth="1"/>
    <col min="2" max="2" width="24.42578125" customWidth="1"/>
    <col min="3" max="3" width="14.140625" customWidth="1"/>
    <col min="4" max="4" width="15" bestFit="1" customWidth="1"/>
    <col min="5" max="5" width="14.140625" bestFit="1" customWidth="1"/>
    <col min="6" max="6" width="12.7109375" style="27" bestFit="1" customWidth="1"/>
    <col min="7" max="9" width="12" style="27" bestFit="1" customWidth="1"/>
    <col min="17" max="17" width="23.7109375" customWidth="1"/>
  </cols>
  <sheetData>
    <row r="1" spans="1:9" s="9" customFormat="1">
      <c r="A1" s="9" t="s">
        <v>246</v>
      </c>
      <c r="B1" s="9" t="s">
        <v>91</v>
      </c>
      <c r="C1" s="9" t="s">
        <v>247</v>
      </c>
      <c r="D1" s="9" t="s">
        <v>248</v>
      </c>
      <c r="E1" s="9" t="s">
        <v>249</v>
      </c>
      <c r="F1" s="26" t="s">
        <v>250</v>
      </c>
      <c r="G1" s="26" t="s">
        <v>251</v>
      </c>
      <c r="H1" s="26" t="s">
        <v>252</v>
      </c>
      <c r="I1" s="26" t="s">
        <v>253</v>
      </c>
    </row>
    <row r="2" spans="1:9">
      <c r="A2" t="s">
        <v>18</v>
      </c>
      <c r="B2" t="str">
        <f>VLOOKUP(A2,PW!A:C,3,0)</f>
        <v>Th17 cell differenti</v>
      </c>
      <c r="C2" t="str">
        <f t="shared" ref="C2:C65" si="0">D2&amp;"-&gt;"&amp;E2</f>
        <v>SMAD2-&gt;IL23R</v>
      </c>
      <c r="D2" t="s">
        <v>254</v>
      </c>
      <c r="E2" t="s">
        <v>255</v>
      </c>
      <c r="F2" s="27">
        <v>2.0823367319999999</v>
      </c>
      <c r="G2" s="27">
        <v>2.0823367319999999</v>
      </c>
      <c r="H2" s="27">
        <v>3.3926752999999997E-2</v>
      </c>
      <c r="I2" s="27">
        <v>0.307710339</v>
      </c>
    </row>
    <row r="3" spans="1:9">
      <c r="A3" t="s">
        <v>127</v>
      </c>
      <c r="B3" t="str">
        <f>VLOOKUP(A3,PW!A:C,3,0)</f>
        <v>Nicotinate and nicot</v>
      </c>
      <c r="C3" t="str">
        <f t="shared" si="0"/>
        <v>NADSYN1-&gt;NMNAT2</v>
      </c>
      <c r="D3" t="s">
        <v>256</v>
      </c>
      <c r="E3" t="s">
        <v>257</v>
      </c>
      <c r="F3" s="27">
        <v>-2.0556369229999998</v>
      </c>
      <c r="G3" s="27">
        <v>2.0556369229999998</v>
      </c>
      <c r="H3" s="27">
        <v>4.6499999999999999E-5</v>
      </c>
      <c r="I3" s="27">
        <v>1.7647493E-2</v>
      </c>
    </row>
    <row r="4" spans="1:9">
      <c r="A4" t="s">
        <v>10</v>
      </c>
      <c r="B4" t="str">
        <f>VLOOKUP(A4,PW!A:C,3,0)</f>
        <v>Focal adhesion</v>
      </c>
      <c r="C4" t="str">
        <f t="shared" si="0"/>
        <v>CTNNB1-&gt;CCND1</v>
      </c>
      <c r="D4" t="s">
        <v>258</v>
      </c>
      <c r="E4" t="s">
        <v>259</v>
      </c>
      <c r="F4" s="27">
        <v>1.5308351440000001</v>
      </c>
      <c r="G4" s="27">
        <v>1.5308351440000001</v>
      </c>
      <c r="H4" s="27">
        <v>4.6647800000000003E-3</v>
      </c>
      <c r="I4" s="27">
        <v>0.146219191</v>
      </c>
    </row>
    <row r="5" spans="1:9">
      <c r="A5" t="s">
        <v>7</v>
      </c>
      <c r="B5" t="str">
        <f>VLOOKUP(A5,PW!A:C,3,0)</f>
        <v>Human cytomegaloviru</v>
      </c>
      <c r="C5" t="str">
        <f t="shared" si="0"/>
        <v>CTNNB1-&gt;CCND1</v>
      </c>
      <c r="D5" t="s">
        <v>258</v>
      </c>
      <c r="E5" t="s">
        <v>259</v>
      </c>
      <c r="F5" s="27">
        <v>1.5308351440000001</v>
      </c>
      <c r="G5" s="27">
        <v>1.5308351440000001</v>
      </c>
      <c r="H5" s="27">
        <v>4.6647800000000003E-3</v>
      </c>
      <c r="I5" s="27">
        <v>0.146219191</v>
      </c>
    </row>
    <row r="6" spans="1:9">
      <c r="A6" t="s">
        <v>18</v>
      </c>
      <c r="B6" t="str">
        <f>VLOOKUP(A6,PW!A:C,3,0)</f>
        <v>Th17 cell differenti</v>
      </c>
      <c r="C6" t="str">
        <f t="shared" si="0"/>
        <v>SMAD2-&gt;RORC</v>
      </c>
      <c r="D6" t="s">
        <v>254</v>
      </c>
      <c r="E6" t="s">
        <v>260</v>
      </c>
      <c r="F6" s="27">
        <v>1.5221002850000001</v>
      </c>
      <c r="G6" s="27">
        <v>1.5221002850000001</v>
      </c>
      <c r="H6" s="27">
        <v>1.9629126E-2</v>
      </c>
      <c r="I6" s="27">
        <v>0.25598808299999998</v>
      </c>
    </row>
    <row r="7" spans="1:9">
      <c r="A7" t="s">
        <v>12</v>
      </c>
      <c r="B7" t="str">
        <f>VLOOKUP(A7,PW!A:C,3,0)</f>
        <v>Apelin signaling pat</v>
      </c>
      <c r="C7" t="str">
        <f t="shared" si="0"/>
        <v>PRKAG2-&gt;PPARGC1A</v>
      </c>
      <c r="D7" t="s">
        <v>261</v>
      </c>
      <c r="E7" t="s">
        <v>262</v>
      </c>
      <c r="F7" s="27">
        <v>-1.408961331</v>
      </c>
      <c r="G7" s="27">
        <v>1.408961331</v>
      </c>
      <c r="H7" s="27">
        <v>4.144722E-3</v>
      </c>
      <c r="I7" s="27">
        <v>0.13665022499999999</v>
      </c>
    </row>
    <row r="8" spans="1:9">
      <c r="A8" t="s">
        <v>127</v>
      </c>
      <c r="B8" t="str">
        <f>VLOOKUP(A8,PW!A:C,3,0)</f>
        <v>Nicotinate and nicot</v>
      </c>
      <c r="C8" t="str">
        <f t="shared" si="0"/>
        <v>SIRT2-&gt;NMNAT2</v>
      </c>
      <c r="D8" t="s">
        <v>263</v>
      </c>
      <c r="E8" t="s">
        <v>257</v>
      </c>
      <c r="F8" s="27">
        <v>-1.4018611439999999</v>
      </c>
      <c r="G8" s="27">
        <v>1.4018611439999999</v>
      </c>
      <c r="H8" s="27">
        <v>3.8571950000000001E-2</v>
      </c>
      <c r="I8" s="27">
        <v>0.32448155899999997</v>
      </c>
    </row>
    <row r="9" spans="1:9">
      <c r="A9" t="s">
        <v>15</v>
      </c>
      <c r="B9" t="str">
        <f>VLOOKUP(A9,PW!A:C,3,0)</f>
        <v>Cushing syndrome KEG</v>
      </c>
      <c r="C9" t="str">
        <f t="shared" si="0"/>
        <v>CREB3-&gt;POMC</v>
      </c>
      <c r="D9" t="s">
        <v>264</v>
      </c>
      <c r="E9" t="s">
        <v>265</v>
      </c>
      <c r="F9" s="27">
        <v>-1.3535441779999999</v>
      </c>
      <c r="G9" s="27">
        <v>1.3535441779999999</v>
      </c>
      <c r="H9" s="27">
        <v>3.6199999999999999E-5</v>
      </c>
      <c r="I9" s="27">
        <v>1.7647493E-2</v>
      </c>
    </row>
    <row r="10" spans="1:9">
      <c r="A10" t="s">
        <v>18</v>
      </c>
      <c r="B10" t="str">
        <f>VLOOKUP(A10,PW!A:C,3,0)</f>
        <v>Th17 cell differenti</v>
      </c>
      <c r="C10" t="str">
        <f t="shared" si="0"/>
        <v>MTOR-&gt;IRF4</v>
      </c>
      <c r="D10" t="s">
        <v>266</v>
      </c>
      <c r="E10" t="s">
        <v>267</v>
      </c>
      <c r="F10" s="27">
        <v>-1.07582863</v>
      </c>
      <c r="G10" s="27">
        <v>1.07582863</v>
      </c>
      <c r="H10" s="27">
        <v>2.6383341000000001E-2</v>
      </c>
      <c r="I10" s="27">
        <v>0.29035814700000001</v>
      </c>
    </row>
    <row r="11" spans="1:9">
      <c r="A11" t="s">
        <v>41</v>
      </c>
      <c r="B11" t="str">
        <f>VLOOKUP(A11,PW!A:C,3,0)</f>
        <v>Fluid shear stress a</v>
      </c>
      <c r="C11" t="str">
        <f t="shared" si="0"/>
        <v>KLF2-&gt;NOS3</v>
      </c>
      <c r="D11" t="s">
        <v>268</v>
      </c>
      <c r="E11" t="s">
        <v>269</v>
      </c>
      <c r="F11" s="27">
        <v>0.97160546400000003</v>
      </c>
      <c r="G11" s="27">
        <v>0.97160546400000003</v>
      </c>
      <c r="H11" s="27">
        <v>3.3906379E-2</v>
      </c>
      <c r="I11" s="27">
        <v>0.307710339</v>
      </c>
    </row>
    <row r="12" spans="1:9">
      <c r="A12" t="s">
        <v>149</v>
      </c>
      <c r="B12" t="str">
        <f>VLOOKUP(A12,PW!A:C,3,0)</f>
        <v xml:space="preserve">Glycerophospholipid </v>
      </c>
      <c r="C12" t="str">
        <f t="shared" si="0"/>
        <v>SAMD8-&gt;DGKK</v>
      </c>
      <c r="D12" t="s">
        <v>270</v>
      </c>
      <c r="E12" t="s">
        <v>271</v>
      </c>
      <c r="F12" s="27">
        <v>-0.94029793500000003</v>
      </c>
      <c r="G12" s="27">
        <v>0.94029793500000003</v>
      </c>
      <c r="H12" s="27">
        <v>3.9853892000000002E-2</v>
      </c>
      <c r="I12" s="27">
        <v>0.32932431499999998</v>
      </c>
    </row>
    <row r="13" spans="1:9">
      <c r="A13" t="s">
        <v>116</v>
      </c>
      <c r="B13" t="str">
        <f>VLOOKUP(A13,PW!A:C,3,0)</f>
        <v>T cell receptor sign</v>
      </c>
      <c r="C13" t="str">
        <f t="shared" si="0"/>
        <v>NFKB1-&gt;IL10</v>
      </c>
      <c r="D13" t="s">
        <v>272</v>
      </c>
      <c r="E13" t="s">
        <v>273</v>
      </c>
      <c r="F13" s="27">
        <v>-0.92636841599999997</v>
      </c>
      <c r="G13" s="27">
        <v>0.92636841599999997</v>
      </c>
      <c r="H13" s="27">
        <v>6.3948850000000003E-3</v>
      </c>
      <c r="I13" s="27">
        <v>0.165613279</v>
      </c>
    </row>
    <row r="14" spans="1:9">
      <c r="A14" t="s">
        <v>27</v>
      </c>
      <c r="B14" t="str">
        <f>VLOOKUP(A14,PW!A:C,3,0)</f>
        <v>Yersinia infection K</v>
      </c>
      <c r="C14" t="str">
        <f t="shared" si="0"/>
        <v>NFKB1-&gt;IL10</v>
      </c>
      <c r="D14" t="s">
        <v>272</v>
      </c>
      <c r="E14" t="s">
        <v>273</v>
      </c>
      <c r="F14" s="27">
        <v>-0.92636841599999997</v>
      </c>
      <c r="G14" s="27">
        <v>0.92636841599999997</v>
      </c>
      <c r="H14" s="27">
        <v>6.3948850000000003E-3</v>
      </c>
      <c r="I14" s="27">
        <v>0.165613279</v>
      </c>
    </row>
    <row r="15" spans="1:9">
      <c r="A15" t="s">
        <v>143</v>
      </c>
      <c r="B15" t="str">
        <f>VLOOKUP(A15,PW!A:C,3,0)</f>
        <v>Th1 and Th2 cell dif</v>
      </c>
      <c r="C15" t="str">
        <f t="shared" si="0"/>
        <v>NFATC1-&gt;IL4</v>
      </c>
      <c r="D15" t="s">
        <v>274</v>
      </c>
      <c r="E15" t="s">
        <v>275</v>
      </c>
      <c r="F15" s="27">
        <v>-0.87555033599999998</v>
      </c>
      <c r="G15" s="27">
        <v>0.87555033599999998</v>
      </c>
      <c r="H15" s="27">
        <v>1.0570994E-2</v>
      </c>
      <c r="I15" s="27">
        <v>0.208057667</v>
      </c>
    </row>
    <row r="16" spans="1:9">
      <c r="A16" t="s">
        <v>116</v>
      </c>
      <c r="B16" t="str">
        <f>VLOOKUP(A16,PW!A:C,3,0)</f>
        <v>T cell receptor sign</v>
      </c>
      <c r="C16" t="str">
        <f t="shared" si="0"/>
        <v>NFATC1-&gt;IL4</v>
      </c>
      <c r="D16" t="s">
        <v>274</v>
      </c>
      <c r="E16" t="s">
        <v>275</v>
      </c>
      <c r="F16" s="27">
        <v>-0.87555033599999998</v>
      </c>
      <c r="G16" s="27">
        <v>0.87555033599999998</v>
      </c>
      <c r="H16" s="27">
        <v>1.0570994E-2</v>
      </c>
      <c r="I16" s="27">
        <v>0.208057667</v>
      </c>
    </row>
    <row r="17" spans="1:17">
      <c r="A17" t="s">
        <v>120</v>
      </c>
      <c r="B17" t="str">
        <f>VLOOKUP(A17,PW!A:C,3,0)</f>
        <v>Inflammatory bowel d</v>
      </c>
      <c r="C17" t="str">
        <f t="shared" si="0"/>
        <v>NFATC1-&gt;IL4</v>
      </c>
      <c r="D17" t="s">
        <v>274</v>
      </c>
      <c r="E17" t="s">
        <v>275</v>
      </c>
      <c r="F17" s="27">
        <v>-0.87555033599999998</v>
      </c>
      <c r="G17" s="27">
        <v>0.87555033599999998</v>
      </c>
      <c r="H17" s="27">
        <v>1.0570994E-2</v>
      </c>
      <c r="I17" s="27">
        <v>0.208057667</v>
      </c>
    </row>
    <row r="18" spans="1:17">
      <c r="A18" t="s">
        <v>36</v>
      </c>
      <c r="B18" t="str">
        <f>VLOOKUP(A18,PW!A:C,3,0)</f>
        <v>Tuberculosis</v>
      </c>
      <c r="C18" t="str">
        <f t="shared" si="0"/>
        <v>MAPK8-&gt;IL23A</v>
      </c>
      <c r="D18" t="s">
        <v>276</v>
      </c>
      <c r="E18" t="s">
        <v>277</v>
      </c>
      <c r="F18" s="27">
        <v>-0.85945658800000002</v>
      </c>
      <c r="G18" s="27">
        <v>0.85945658800000002</v>
      </c>
      <c r="H18" s="27">
        <v>2.5709735000000001E-2</v>
      </c>
      <c r="I18" s="27">
        <v>0.29035814700000001</v>
      </c>
    </row>
    <row r="19" spans="1:17">
      <c r="A19" t="s">
        <v>158</v>
      </c>
      <c r="B19" t="str">
        <f>VLOOKUP(A19,PW!A:C,3,0)</f>
        <v>Glycosphingolipid bi</v>
      </c>
      <c r="C19" t="str">
        <f t="shared" si="0"/>
        <v>B4GALT1-&gt;B3GALT2</v>
      </c>
      <c r="D19" t="s">
        <v>278</v>
      </c>
      <c r="E19" t="s">
        <v>279</v>
      </c>
      <c r="F19" s="27">
        <v>0.83320191600000004</v>
      </c>
      <c r="G19" s="27">
        <v>0.83320191600000004</v>
      </c>
      <c r="H19" s="27">
        <v>8.349492E-3</v>
      </c>
      <c r="I19" s="27">
        <v>0.18539280299999999</v>
      </c>
    </row>
    <row r="20" spans="1:17">
      <c r="A20" t="s">
        <v>130</v>
      </c>
      <c r="B20" t="str">
        <f>VLOOKUP(A20,PW!A:C,3,0)</f>
        <v>N‑Glycan biosynthesis</v>
      </c>
      <c r="C20" t="str">
        <f t="shared" si="0"/>
        <v>ALG6-&gt;ALG5</v>
      </c>
      <c r="D20" t="s">
        <v>280</v>
      </c>
      <c r="E20" t="s">
        <v>281</v>
      </c>
      <c r="F20" s="27">
        <v>0.82539682299999995</v>
      </c>
      <c r="G20" s="27">
        <v>0.82539682299999995</v>
      </c>
      <c r="H20" s="27">
        <v>2.1043E-4</v>
      </c>
      <c r="I20" s="27">
        <v>4.2726105E-2</v>
      </c>
    </row>
    <row r="21" spans="1:17">
      <c r="A21" t="s">
        <v>107</v>
      </c>
      <c r="B21" t="str">
        <f>VLOOKUP(A21,PW!A:C,3,0)</f>
        <v>Cysteine and methionine</v>
      </c>
      <c r="C21" t="str">
        <f t="shared" si="0"/>
        <v>AMD1-&gt;GNMT</v>
      </c>
      <c r="D21" t="s">
        <v>282</v>
      </c>
      <c r="E21" t="s">
        <v>283</v>
      </c>
      <c r="F21" s="27">
        <v>-0.80821652300000002</v>
      </c>
      <c r="G21" s="27">
        <v>0.80821652300000002</v>
      </c>
      <c r="H21" s="27">
        <v>1.265457E-3</v>
      </c>
      <c r="I21" s="27">
        <v>7.5031633E-2</v>
      </c>
    </row>
    <row r="22" spans="1:17">
      <c r="A22" t="s">
        <v>18</v>
      </c>
      <c r="B22" t="str">
        <f>VLOOKUP(A22,PW!A:C,3,0)</f>
        <v>Th17 cell differenti</v>
      </c>
      <c r="C22" t="str">
        <f t="shared" si="0"/>
        <v>RUNX1-&gt;RORC</v>
      </c>
      <c r="D22" t="s">
        <v>284</v>
      </c>
      <c r="E22" t="s">
        <v>260</v>
      </c>
      <c r="F22" s="27">
        <v>0.79427783100000005</v>
      </c>
      <c r="G22" s="27">
        <v>0.79427783100000005</v>
      </c>
      <c r="H22" s="27">
        <v>1.4935703999999999E-2</v>
      </c>
      <c r="I22" s="27">
        <v>0.23038882099999999</v>
      </c>
    </row>
    <row r="23" spans="1:17">
      <c r="A23" t="s">
        <v>102</v>
      </c>
      <c r="B23" t="str">
        <f>VLOOKUP(A23,PW!A:C,3,0)</f>
        <v>Pyrimidine metabolism</v>
      </c>
      <c r="C23" t="str">
        <f t="shared" si="0"/>
        <v>NME6-&gt;DTYMK</v>
      </c>
      <c r="D23" t="s">
        <v>285</v>
      </c>
      <c r="E23" t="s">
        <v>286</v>
      </c>
      <c r="F23" s="27">
        <v>0.79395071900000003</v>
      </c>
      <c r="G23" s="27">
        <v>0.79395071900000003</v>
      </c>
      <c r="H23" s="27">
        <v>1.0046949999999999E-3</v>
      </c>
      <c r="I23" s="27">
        <v>6.5586516999999997E-2</v>
      </c>
      <c r="Q23" s="13"/>
    </row>
    <row r="24" spans="1:17">
      <c r="A24" t="s">
        <v>118</v>
      </c>
      <c r="B24" t="str">
        <f>VLOOKUP(A24,PW!A:C,3,0)</f>
        <v xml:space="preserve">Prolactin signaling </v>
      </c>
      <c r="C24" t="str">
        <f t="shared" si="0"/>
        <v>NFKB1-&gt;CCND1</v>
      </c>
      <c r="D24" t="s">
        <v>272</v>
      </c>
      <c r="E24" t="s">
        <v>259</v>
      </c>
      <c r="F24" s="27">
        <v>0.78634624799999997</v>
      </c>
      <c r="G24" s="27">
        <v>0.78634624799999997</v>
      </c>
      <c r="H24" s="27">
        <v>1.9733180999999999E-2</v>
      </c>
      <c r="I24" s="27">
        <v>0.25598808299999998</v>
      </c>
    </row>
    <row r="25" spans="1:17">
      <c r="A25" t="s">
        <v>169</v>
      </c>
      <c r="B25" t="str">
        <f>VLOOKUP(A25,PW!A:C,3,0)</f>
        <v>Pathways in cancer</v>
      </c>
      <c r="C25" t="str">
        <f t="shared" si="0"/>
        <v>NFKB1-&gt;CCND1</v>
      </c>
      <c r="D25" t="s">
        <v>272</v>
      </c>
      <c r="E25" t="s">
        <v>259</v>
      </c>
      <c r="F25" s="27">
        <v>0.78634624799999997</v>
      </c>
      <c r="G25" s="27">
        <v>0.78634624799999997</v>
      </c>
      <c r="H25" s="27">
        <v>1.9733180999999999E-2</v>
      </c>
      <c r="I25" s="27">
        <v>0.25598808299999998</v>
      </c>
    </row>
    <row r="26" spans="1:17">
      <c r="A26" t="s">
        <v>19</v>
      </c>
      <c r="B26" t="str">
        <f>VLOOKUP(A26,PW!A:C,3,0)</f>
        <v>Small cell lung canc</v>
      </c>
      <c r="C26" t="str">
        <f t="shared" si="0"/>
        <v>NFKB1-&gt;CCND1</v>
      </c>
      <c r="D26" t="s">
        <v>272</v>
      </c>
      <c r="E26" t="s">
        <v>259</v>
      </c>
      <c r="F26" s="27">
        <v>0.78634624799999997</v>
      </c>
      <c r="G26" s="27">
        <v>0.78634624799999997</v>
      </c>
      <c r="H26" s="27">
        <v>1.9733180999999999E-2</v>
      </c>
      <c r="I26" s="27">
        <v>0.25598808299999998</v>
      </c>
    </row>
    <row r="27" spans="1:17">
      <c r="A27" t="s">
        <v>146</v>
      </c>
      <c r="B27" t="str">
        <f>VLOOKUP(A27,PW!A:C,3,0)</f>
        <v>Glycerolipid metabol</v>
      </c>
      <c r="C27" t="str">
        <f t="shared" si="0"/>
        <v>MGLL-&gt;LPL</v>
      </c>
      <c r="D27" t="s">
        <v>287</v>
      </c>
      <c r="E27" t="s">
        <v>288</v>
      </c>
      <c r="F27" s="27">
        <v>0.76506788299999995</v>
      </c>
      <c r="G27" s="27">
        <v>0.76506788299999995</v>
      </c>
      <c r="H27" s="27">
        <v>4.7037420000000003E-3</v>
      </c>
      <c r="I27" s="27">
        <v>0.146219191</v>
      </c>
    </row>
    <row r="28" spans="1:17">
      <c r="A28" t="s">
        <v>18</v>
      </c>
      <c r="B28" t="str">
        <f>VLOOKUP(A28,PW!A:C,3,0)</f>
        <v>Th17 cell differenti</v>
      </c>
      <c r="C28" t="str">
        <f t="shared" si="0"/>
        <v>STAT3-&gt;IL23R</v>
      </c>
      <c r="D28" t="s">
        <v>289</v>
      </c>
      <c r="E28" t="s">
        <v>255</v>
      </c>
      <c r="F28" s="27">
        <v>0.75820226899999998</v>
      </c>
      <c r="G28" s="27">
        <v>0.75820226899999998</v>
      </c>
      <c r="H28" s="27">
        <v>1.3473357E-2</v>
      </c>
      <c r="I28" s="27">
        <v>0.22437264500000001</v>
      </c>
    </row>
    <row r="29" spans="1:17">
      <c r="A29" t="s">
        <v>127</v>
      </c>
      <c r="B29" t="str">
        <f>VLOOKUP(A29,PW!A:C,3,0)</f>
        <v>Nicotinate and nicot</v>
      </c>
      <c r="C29" t="str">
        <f t="shared" si="0"/>
        <v>NT5C1B-RDH14-&gt;NMNAT2</v>
      </c>
      <c r="D29" t="s">
        <v>290</v>
      </c>
      <c r="E29" t="s">
        <v>257</v>
      </c>
      <c r="F29" s="27">
        <v>0.75380548000000003</v>
      </c>
      <c r="G29" s="27">
        <v>0.75380548000000003</v>
      </c>
      <c r="H29" s="27">
        <v>5.9600300000000001E-4</v>
      </c>
      <c r="I29" s="27">
        <v>4.9880885999999999E-2</v>
      </c>
    </row>
    <row r="30" spans="1:17">
      <c r="A30" t="s">
        <v>153</v>
      </c>
      <c r="B30" t="str">
        <f>VLOOKUP(A30,PW!A:C,3,0)</f>
        <v>Arachidonic acid met</v>
      </c>
      <c r="C30" t="str">
        <f t="shared" si="0"/>
        <v>PTGES3-&gt;HPGDS</v>
      </c>
      <c r="D30" t="s">
        <v>291</v>
      </c>
      <c r="E30" t="s">
        <v>292</v>
      </c>
      <c r="F30" s="27">
        <v>-0.75033279600000002</v>
      </c>
      <c r="G30" s="27">
        <v>0.75033279600000002</v>
      </c>
      <c r="H30" s="27">
        <v>2.6400630000000001E-2</v>
      </c>
      <c r="I30" s="27">
        <v>0.29035814700000001</v>
      </c>
    </row>
    <row r="31" spans="1:17">
      <c r="A31" t="s">
        <v>24</v>
      </c>
      <c r="B31" t="str">
        <f>VLOOKUP(A31,PW!A:C,3,0)</f>
        <v>Mitophagy – animal</v>
      </c>
      <c r="C31" t="str">
        <f t="shared" si="0"/>
        <v>ATF4-&gt;PRKN</v>
      </c>
      <c r="D31" t="s">
        <v>293</v>
      </c>
      <c r="E31" t="s">
        <v>294</v>
      </c>
      <c r="F31" s="27">
        <v>-0.72357598400000001</v>
      </c>
      <c r="G31" s="27">
        <v>0.72357598400000001</v>
      </c>
      <c r="H31" s="27">
        <v>1.7536913000000001E-2</v>
      </c>
      <c r="I31" s="27">
        <v>0.25072385400000002</v>
      </c>
    </row>
    <row r="32" spans="1:17">
      <c r="A32" t="s">
        <v>149</v>
      </c>
      <c r="B32" t="str">
        <f>VLOOKUP(A32,PW!A:C,3,0)</f>
        <v xml:space="preserve">Glycerophospholipid </v>
      </c>
      <c r="C32" t="str">
        <f t="shared" si="0"/>
        <v>CEPT1-&gt;PEMT</v>
      </c>
      <c r="D32" t="s">
        <v>295</v>
      </c>
      <c r="E32" t="s">
        <v>296</v>
      </c>
      <c r="F32" s="27">
        <v>0.71930062100000003</v>
      </c>
      <c r="G32" s="27">
        <v>0.71930062100000003</v>
      </c>
      <c r="H32" s="27">
        <v>1.2655108999999999E-2</v>
      </c>
      <c r="I32" s="27">
        <v>0.22281664500000001</v>
      </c>
    </row>
    <row r="33" spans="1:17">
      <c r="A33" t="s">
        <v>101</v>
      </c>
      <c r="B33" t="str">
        <f>VLOOKUP(A33,PW!A:C,3,0)</f>
        <v>Purine metabolism</v>
      </c>
      <c r="C33" t="str">
        <f t="shared" si="0"/>
        <v>NME6-&gt;NUDT16</v>
      </c>
      <c r="D33" t="s">
        <v>285</v>
      </c>
      <c r="E33" t="s">
        <v>297</v>
      </c>
      <c r="F33" s="27">
        <v>-0.71154881199999997</v>
      </c>
      <c r="G33" s="27">
        <v>0.71154881199999997</v>
      </c>
      <c r="H33" s="27">
        <v>1.7214157000000001E-2</v>
      </c>
      <c r="I33" s="27">
        <v>0.24972003200000001</v>
      </c>
      <c r="Q33" s="13"/>
    </row>
    <row r="34" spans="1:17">
      <c r="A34" t="s">
        <v>92</v>
      </c>
      <c r="B34" t="str">
        <f>VLOOKUP(A34,PW!A:C,3,0)</f>
        <v>Glycolysis</v>
      </c>
      <c r="C34" t="str">
        <f t="shared" si="0"/>
        <v>ACSS2-&gt;ALDH2</v>
      </c>
      <c r="D34" t="s">
        <v>298</v>
      </c>
      <c r="E34" t="s">
        <v>299</v>
      </c>
      <c r="F34" s="27">
        <v>-0.71133454900000004</v>
      </c>
      <c r="G34" s="27">
        <v>0.71133454900000004</v>
      </c>
      <c r="H34" s="27">
        <v>9.3700000000000001E-6</v>
      </c>
      <c r="I34" s="27">
        <v>1.0191278999999999E-2</v>
      </c>
    </row>
    <row r="35" spans="1:17">
      <c r="A35" t="s">
        <v>164</v>
      </c>
      <c r="B35" t="str">
        <f>VLOOKUP(A35,PW!A:C,3,0)</f>
        <v xml:space="preserve">Pyruvate metabolism </v>
      </c>
      <c r="C35" t="str">
        <f t="shared" si="0"/>
        <v>ACSS2-&gt;ALDH2</v>
      </c>
      <c r="D35" t="s">
        <v>298</v>
      </c>
      <c r="E35" t="s">
        <v>299</v>
      </c>
      <c r="F35" s="27">
        <v>-0.71133454900000004</v>
      </c>
      <c r="G35" s="27">
        <v>0.71133454900000004</v>
      </c>
      <c r="H35" s="27">
        <v>9.3700000000000001E-6</v>
      </c>
      <c r="I35" s="27">
        <v>1.0191278999999999E-2</v>
      </c>
    </row>
    <row r="36" spans="1:17">
      <c r="A36" t="s">
        <v>149</v>
      </c>
      <c r="B36" t="str">
        <f>VLOOKUP(A36,PW!A:C,3,0)</f>
        <v xml:space="preserve">Glycerophospholipid </v>
      </c>
      <c r="C36" t="str">
        <f t="shared" si="0"/>
        <v>LPCAT3-&gt;PLD4</v>
      </c>
      <c r="D36" t="s">
        <v>300</v>
      </c>
      <c r="E36" t="s">
        <v>301</v>
      </c>
      <c r="F36" s="27">
        <v>0.697717433</v>
      </c>
      <c r="G36" s="27">
        <v>0.697717433</v>
      </c>
      <c r="H36" s="27">
        <v>4.9256320999999999E-2</v>
      </c>
      <c r="I36" s="27">
        <v>0.35486563799999998</v>
      </c>
    </row>
    <row r="37" spans="1:17">
      <c r="A37" t="s">
        <v>7</v>
      </c>
      <c r="B37" t="str">
        <f>VLOOKUP(A37,PW!A:C,3,0)</f>
        <v>Human cytomegaloviru</v>
      </c>
      <c r="C37" t="str">
        <f t="shared" si="0"/>
        <v>NFATC1-&gt;CXCL8</v>
      </c>
      <c r="D37" t="s">
        <v>274</v>
      </c>
      <c r="E37" t="s">
        <v>302</v>
      </c>
      <c r="F37" s="27">
        <v>0.69564041499999996</v>
      </c>
      <c r="G37" s="27">
        <v>0.69564041499999996</v>
      </c>
      <c r="H37" s="27">
        <v>1.7539379000000001E-2</v>
      </c>
      <c r="I37" s="27">
        <v>0.25072385400000002</v>
      </c>
    </row>
    <row r="38" spans="1:17">
      <c r="A38" t="s">
        <v>21</v>
      </c>
      <c r="B38" t="str">
        <f>VLOOKUP(A38,PW!A:C,3,0)</f>
        <v>PD‑L1 expression and</v>
      </c>
      <c r="C38" t="str">
        <f t="shared" si="0"/>
        <v>NFKB1-&gt;CD274</v>
      </c>
      <c r="D38" t="s">
        <v>272</v>
      </c>
      <c r="E38" t="s">
        <v>303</v>
      </c>
      <c r="F38" s="27">
        <v>0.69030656300000004</v>
      </c>
      <c r="G38" s="27">
        <v>0.69030656300000004</v>
      </c>
      <c r="H38" s="27">
        <v>2.3458085E-2</v>
      </c>
      <c r="I38" s="27">
        <v>0.27767641399999998</v>
      </c>
    </row>
    <row r="39" spans="1:17">
      <c r="A39" t="s">
        <v>21</v>
      </c>
      <c r="B39" t="str">
        <f>VLOOKUP(A39,PW!A:C,3,0)</f>
        <v>PD‑L1 expression and</v>
      </c>
      <c r="C39" t="str">
        <f t="shared" si="0"/>
        <v>HIF1A-&gt;CD274</v>
      </c>
      <c r="D39" t="s">
        <v>304</v>
      </c>
      <c r="E39" t="s">
        <v>303</v>
      </c>
      <c r="F39" s="27">
        <v>0.68070850699999996</v>
      </c>
      <c r="G39" s="27">
        <v>0.68070850699999996</v>
      </c>
      <c r="H39" s="27">
        <v>1.1559509999999999E-3</v>
      </c>
      <c r="I39" s="27">
        <v>7.1189126000000005E-2</v>
      </c>
    </row>
    <row r="40" spans="1:17">
      <c r="A40" t="s">
        <v>147</v>
      </c>
      <c r="B40" t="str">
        <f>VLOOKUP(A40,PW!A:C,3,0)</f>
        <v>AGE‑RAGE signaling p</v>
      </c>
      <c r="C40" t="str">
        <f t="shared" si="0"/>
        <v>STAT5A-&gt;CCND1</v>
      </c>
      <c r="D40" t="s">
        <v>305</v>
      </c>
      <c r="E40" t="s">
        <v>259</v>
      </c>
      <c r="F40" s="27">
        <v>0.67617384300000005</v>
      </c>
      <c r="G40" s="27">
        <v>0.67617384300000005</v>
      </c>
      <c r="H40" s="27">
        <v>4.2524708000000001E-2</v>
      </c>
      <c r="I40" s="27">
        <v>0.33790994400000002</v>
      </c>
    </row>
    <row r="41" spans="1:17">
      <c r="A41" t="s">
        <v>143</v>
      </c>
      <c r="B41" t="str">
        <f>VLOOKUP(A41,PW!A:C,3,0)</f>
        <v>Th1 and Th2 cell dif</v>
      </c>
      <c r="C41" t="str">
        <f t="shared" si="0"/>
        <v>NFKB1-&gt;IL2RA</v>
      </c>
      <c r="D41" t="s">
        <v>272</v>
      </c>
      <c r="E41" t="s">
        <v>306</v>
      </c>
      <c r="F41" s="27">
        <v>0.66058659799999997</v>
      </c>
      <c r="G41" s="27">
        <v>0.66058659799999997</v>
      </c>
      <c r="H41" s="27">
        <v>1.1079653E-2</v>
      </c>
      <c r="I41" s="27">
        <v>0.21148530900000001</v>
      </c>
    </row>
    <row r="42" spans="1:17">
      <c r="A42" t="s">
        <v>161</v>
      </c>
      <c r="B42" t="str">
        <f>VLOOKUP(A42,PW!A:C,3,0)</f>
        <v>Human T‑cell leukemi</v>
      </c>
      <c r="C42" t="str">
        <f t="shared" si="0"/>
        <v>NFKB1-&gt;IL2RA</v>
      </c>
      <c r="D42" t="s">
        <v>272</v>
      </c>
      <c r="E42" t="s">
        <v>306</v>
      </c>
      <c r="F42" s="27">
        <v>0.66058659799999997</v>
      </c>
      <c r="G42" s="27">
        <v>0.66058659799999997</v>
      </c>
      <c r="H42" s="27">
        <v>1.1079653E-2</v>
      </c>
      <c r="I42" s="27">
        <v>0.21148530900000001</v>
      </c>
    </row>
    <row r="43" spans="1:17">
      <c r="A43" t="s">
        <v>130</v>
      </c>
      <c r="B43" t="str">
        <f>VLOOKUP(A43,PW!A:C,3,0)</f>
        <v>N‑Glycan biosynthesis</v>
      </c>
      <c r="C43" t="str">
        <f t="shared" si="0"/>
        <v>ALG6-&gt;ALG9</v>
      </c>
      <c r="D43" t="s">
        <v>280</v>
      </c>
      <c r="E43" t="s">
        <v>307</v>
      </c>
      <c r="F43" s="27">
        <v>0.65933411399999997</v>
      </c>
      <c r="G43" s="27">
        <v>0.65933411399999997</v>
      </c>
      <c r="H43" s="27">
        <v>1.13446E-4</v>
      </c>
      <c r="I43" s="27">
        <v>3.085734E-2</v>
      </c>
    </row>
    <row r="44" spans="1:17">
      <c r="A44" t="s">
        <v>31</v>
      </c>
      <c r="B44" t="str">
        <f>VLOOKUP(A44,PW!A:C,3,0)</f>
        <v>Growth hormone synth</v>
      </c>
      <c r="C44" t="str">
        <f t="shared" si="0"/>
        <v>STAT1-&gt;IGF1</v>
      </c>
      <c r="D44" t="s">
        <v>308</v>
      </c>
      <c r="E44" t="s">
        <v>309</v>
      </c>
      <c r="F44" s="27">
        <v>-0.65571487799999995</v>
      </c>
      <c r="G44" s="27">
        <v>0.65571487799999995</v>
      </c>
      <c r="H44" s="27">
        <v>2.2964387999999999E-2</v>
      </c>
      <c r="I44" s="27">
        <v>0.27761394</v>
      </c>
    </row>
    <row r="45" spans="1:17">
      <c r="A45" t="s">
        <v>177</v>
      </c>
      <c r="B45" t="str">
        <f>VLOOKUP(A45,PW!A:C,3,0)</f>
        <v>Porphyrin and chloro</v>
      </c>
      <c r="C45" t="str">
        <f t="shared" si="0"/>
        <v>HCCS-&gt;HMOX1</v>
      </c>
      <c r="D45" t="s">
        <v>310</v>
      </c>
      <c r="E45" t="s">
        <v>311</v>
      </c>
      <c r="F45" s="27">
        <v>-0.64960773900000002</v>
      </c>
      <c r="G45" s="27">
        <v>0.64960773900000002</v>
      </c>
      <c r="H45" s="27">
        <v>4.3717269999999997E-3</v>
      </c>
      <c r="I45" s="27">
        <v>0.14269316700000001</v>
      </c>
    </row>
    <row r="46" spans="1:17">
      <c r="A46" t="s">
        <v>101</v>
      </c>
      <c r="B46" t="str">
        <f>VLOOKUP(A46,PW!A:C,3,0)</f>
        <v>Purine metabolism</v>
      </c>
      <c r="C46" t="str">
        <f t="shared" si="0"/>
        <v>NME6-&gt;ITPA</v>
      </c>
      <c r="D46" t="s">
        <v>285</v>
      </c>
      <c r="E46" t="s">
        <v>312</v>
      </c>
      <c r="F46" s="27">
        <v>0.64463456200000002</v>
      </c>
      <c r="G46" s="27">
        <v>0.64463456200000002</v>
      </c>
      <c r="H46" s="27">
        <v>1.487445E-3</v>
      </c>
      <c r="I46" s="27">
        <v>8.5175808000000006E-2</v>
      </c>
      <c r="Q46" s="13"/>
    </row>
    <row r="47" spans="1:17">
      <c r="A47" t="s">
        <v>103</v>
      </c>
      <c r="B47" t="str">
        <f>VLOOKUP(A47,PW!A:C,3,0)</f>
        <v>Folate biosynthesis</v>
      </c>
      <c r="C47" t="str">
        <f t="shared" si="0"/>
        <v>GCH1-&gt;MOCS1</v>
      </c>
      <c r="D47" t="s">
        <v>313</v>
      </c>
      <c r="E47" t="s">
        <v>314</v>
      </c>
      <c r="F47" s="27">
        <v>-0.62567136000000001</v>
      </c>
      <c r="G47" s="27">
        <v>0.62567136000000001</v>
      </c>
      <c r="H47" s="27">
        <v>3.0596619999999999E-3</v>
      </c>
      <c r="I47" s="27">
        <v>0.12641440700000001</v>
      </c>
    </row>
    <row r="48" spans="1:17">
      <c r="A48" t="s">
        <v>24</v>
      </c>
      <c r="B48" t="str">
        <f>VLOOKUP(A48,PW!A:C,3,0)</f>
        <v>Mitophagy – animal</v>
      </c>
      <c r="C48" t="str">
        <f t="shared" si="0"/>
        <v>TP53-&gt;BNIP3L</v>
      </c>
      <c r="D48" t="s">
        <v>315</v>
      </c>
      <c r="E48" t="s">
        <v>316</v>
      </c>
      <c r="F48" s="27">
        <v>-0.62494322099999999</v>
      </c>
      <c r="G48" s="27">
        <v>0.62494322099999999</v>
      </c>
      <c r="H48" s="27">
        <v>4.7150629999999999E-2</v>
      </c>
      <c r="I48" s="27">
        <v>0.349255388</v>
      </c>
    </row>
    <row r="49" spans="1:17">
      <c r="A49" t="s">
        <v>133</v>
      </c>
      <c r="B49" t="str">
        <f>VLOOKUP(A49,PW!A:C,3,0)</f>
        <v>Diabetic cardiomyopa</v>
      </c>
      <c r="C49" t="str">
        <f t="shared" si="0"/>
        <v>PPARA-&gt;PDK2</v>
      </c>
      <c r="D49" t="s">
        <v>317</v>
      </c>
      <c r="E49" t="s">
        <v>318</v>
      </c>
      <c r="F49" s="27">
        <v>-0.61883111700000004</v>
      </c>
      <c r="G49" s="27">
        <v>0.61883111700000004</v>
      </c>
      <c r="H49" s="27">
        <v>4.0307140000000003E-3</v>
      </c>
      <c r="I49" s="27">
        <v>0.13665022499999999</v>
      </c>
    </row>
    <row r="50" spans="1:17">
      <c r="A50" t="s">
        <v>40</v>
      </c>
      <c r="B50" t="str">
        <f>VLOOKUP(A50,PW!A:C,3,0)</f>
        <v>Toll‑like receptor s</v>
      </c>
      <c r="C50" t="str">
        <f t="shared" si="0"/>
        <v>FOS-&gt;CXCL8</v>
      </c>
      <c r="D50" t="s">
        <v>319</v>
      </c>
      <c r="E50" t="s">
        <v>302</v>
      </c>
      <c r="F50" s="27">
        <v>-0.61501374799999997</v>
      </c>
      <c r="G50" s="27">
        <v>0.61501374799999997</v>
      </c>
      <c r="H50" s="27">
        <v>6.7990749999999999E-3</v>
      </c>
      <c r="I50" s="27">
        <v>0.165613279</v>
      </c>
    </row>
    <row r="51" spans="1:17">
      <c r="A51" t="s">
        <v>129</v>
      </c>
      <c r="B51" t="str">
        <f>VLOOKUP(A51,PW!A:C,3,0)</f>
        <v>IL‑17 signaling path</v>
      </c>
      <c r="C51" t="str">
        <f t="shared" si="0"/>
        <v>FOS-&gt;CXCL8</v>
      </c>
      <c r="D51" t="s">
        <v>319</v>
      </c>
      <c r="E51" t="s">
        <v>302</v>
      </c>
      <c r="F51" s="27">
        <v>-0.61501374799999997</v>
      </c>
      <c r="G51" s="27">
        <v>0.61501374799999997</v>
      </c>
      <c r="H51" s="27">
        <v>6.7990749999999999E-3</v>
      </c>
      <c r="I51" s="27">
        <v>0.165613279</v>
      </c>
    </row>
    <row r="52" spans="1:17">
      <c r="A52" t="s">
        <v>106</v>
      </c>
      <c r="B52" t="str">
        <f>VLOOKUP(A52,PW!A:C,3,0)</f>
        <v>Pathogenic Escherich</v>
      </c>
      <c r="C52" t="str">
        <f t="shared" si="0"/>
        <v>FOS-&gt;CXCL8</v>
      </c>
      <c r="D52" t="s">
        <v>319</v>
      </c>
      <c r="E52" t="s">
        <v>302</v>
      </c>
      <c r="F52" s="27">
        <v>-0.61501374799999997</v>
      </c>
      <c r="G52" s="27">
        <v>0.61501374799999997</v>
      </c>
      <c r="H52" s="27">
        <v>6.7990749999999999E-3</v>
      </c>
      <c r="I52" s="27">
        <v>0.165613279</v>
      </c>
    </row>
    <row r="53" spans="1:17">
      <c r="A53" t="s">
        <v>159</v>
      </c>
      <c r="B53" t="str">
        <f>VLOOKUP(A53,PW!A:C,3,0)</f>
        <v>Salmonella infection</v>
      </c>
      <c r="C53" t="str">
        <f t="shared" si="0"/>
        <v>FOS-&gt;CXCL8</v>
      </c>
      <c r="D53" t="s">
        <v>319</v>
      </c>
      <c r="E53" t="s">
        <v>302</v>
      </c>
      <c r="F53" s="27">
        <v>-0.61501374799999997</v>
      </c>
      <c r="G53" s="27">
        <v>0.61501374799999997</v>
      </c>
      <c r="H53" s="27">
        <v>6.7990749999999999E-3</v>
      </c>
      <c r="I53" s="27">
        <v>0.165613279</v>
      </c>
    </row>
    <row r="54" spans="1:17">
      <c r="A54" t="s">
        <v>27</v>
      </c>
      <c r="B54" t="str">
        <f>VLOOKUP(A54,PW!A:C,3,0)</f>
        <v>Yersinia infection K</v>
      </c>
      <c r="C54" t="str">
        <f t="shared" si="0"/>
        <v>FOS-&gt;CXCL8</v>
      </c>
      <c r="D54" t="s">
        <v>319</v>
      </c>
      <c r="E54" t="s">
        <v>302</v>
      </c>
      <c r="F54" s="27">
        <v>-0.61501374799999997</v>
      </c>
      <c r="G54" s="27">
        <v>0.61501374799999997</v>
      </c>
      <c r="H54" s="27">
        <v>6.7990749999999999E-3</v>
      </c>
      <c r="I54" s="27">
        <v>0.165613279</v>
      </c>
    </row>
    <row r="55" spans="1:17">
      <c r="A55" t="s">
        <v>108</v>
      </c>
      <c r="B55" t="str">
        <f>VLOOKUP(A55,PW!A:C,3,0)</f>
        <v>Chagas disease (Amer</v>
      </c>
      <c r="C55" t="str">
        <f t="shared" si="0"/>
        <v>FOS-&gt;CXCL8</v>
      </c>
      <c r="D55" t="s">
        <v>319</v>
      </c>
      <c r="E55" t="s">
        <v>302</v>
      </c>
      <c r="F55" s="27">
        <v>-0.61501374799999997</v>
      </c>
      <c r="G55" s="27">
        <v>0.61501374799999997</v>
      </c>
      <c r="H55" s="27">
        <v>6.7990749999999999E-3</v>
      </c>
      <c r="I55" s="27">
        <v>0.165613279</v>
      </c>
    </row>
    <row r="56" spans="1:17">
      <c r="A56" t="s">
        <v>169</v>
      </c>
      <c r="B56" t="str">
        <f>VLOOKUP(A56,PW!A:C,3,0)</f>
        <v>Pathways in cancer</v>
      </c>
      <c r="C56" t="str">
        <f t="shared" si="0"/>
        <v>FOS-&gt;CXCL8</v>
      </c>
      <c r="D56" t="s">
        <v>319</v>
      </c>
      <c r="E56" t="s">
        <v>302</v>
      </c>
      <c r="F56" s="27">
        <v>-0.61501374799999997</v>
      </c>
      <c r="G56" s="27">
        <v>0.61501374799999997</v>
      </c>
      <c r="H56" s="27">
        <v>6.7990749999999999E-3</v>
      </c>
      <c r="I56" s="27">
        <v>0.165613279</v>
      </c>
    </row>
    <row r="57" spans="1:17">
      <c r="A57" t="s">
        <v>131</v>
      </c>
      <c r="B57" t="str">
        <f>VLOOKUP(A57,PW!A:C,3,0)</f>
        <v>Lipid and atheroscle</v>
      </c>
      <c r="C57" t="str">
        <f t="shared" si="0"/>
        <v>FOS-&gt;CXCL8</v>
      </c>
      <c r="D57" t="s">
        <v>319</v>
      </c>
      <c r="E57" t="s">
        <v>302</v>
      </c>
      <c r="F57" s="27">
        <v>-0.61501374799999997</v>
      </c>
      <c r="G57" s="27">
        <v>0.61501374799999997</v>
      </c>
      <c r="H57" s="27">
        <v>6.7990749999999999E-3</v>
      </c>
      <c r="I57" s="27">
        <v>0.165613279</v>
      </c>
    </row>
    <row r="58" spans="1:17">
      <c r="A58" t="s">
        <v>156</v>
      </c>
      <c r="B58" t="str">
        <f>VLOOKUP(A58,PW!A:C,3,0)</f>
        <v>Sphingolipid metabol</v>
      </c>
      <c r="C58" t="str">
        <f t="shared" si="0"/>
        <v>GALC-&gt;PLPP1</v>
      </c>
      <c r="D58" t="s">
        <v>320</v>
      </c>
      <c r="E58" t="s">
        <v>321</v>
      </c>
      <c r="F58" s="27">
        <v>0.61208576800000003</v>
      </c>
      <c r="G58" s="27">
        <v>0.61208576800000003</v>
      </c>
      <c r="H58" s="27">
        <v>3.2986361999999998E-2</v>
      </c>
      <c r="I58" s="27">
        <v>0.30674497099999998</v>
      </c>
    </row>
    <row r="59" spans="1:17">
      <c r="A59" t="s">
        <v>109</v>
      </c>
      <c r="B59" t="str">
        <f>VLOOKUP(A59,PW!A:C,3,0)</f>
        <v>Valine, leucine</v>
      </c>
      <c r="C59" t="str">
        <f t="shared" si="0"/>
        <v>ACSF3-&gt;ALDH2</v>
      </c>
      <c r="D59" t="s">
        <v>322</v>
      </c>
      <c r="E59" t="s">
        <v>299</v>
      </c>
      <c r="F59" s="27">
        <v>0.61001931499999995</v>
      </c>
      <c r="G59" s="27">
        <v>0.61001931499999995</v>
      </c>
      <c r="H59" s="27">
        <v>2.2986489999999998E-3</v>
      </c>
      <c r="I59" s="27">
        <v>0.10805922900000001</v>
      </c>
    </row>
    <row r="60" spans="1:17">
      <c r="A60" t="s">
        <v>130</v>
      </c>
      <c r="B60" t="str">
        <f>VLOOKUP(A60,PW!A:C,3,0)</f>
        <v>N‑Glycan biosynthesis</v>
      </c>
      <c r="C60" t="str">
        <f t="shared" si="0"/>
        <v>ALG2-&gt;ALG1</v>
      </c>
      <c r="D60" t="s">
        <v>323</v>
      </c>
      <c r="E60" t="s">
        <v>324</v>
      </c>
      <c r="F60" s="27">
        <v>-0.60472559999999997</v>
      </c>
      <c r="G60" s="27">
        <v>0.60472559999999997</v>
      </c>
      <c r="H60" s="27">
        <v>4.8499999999999998E-10</v>
      </c>
      <c r="I60" s="27">
        <v>1.5799999999999999E-6</v>
      </c>
    </row>
    <row r="61" spans="1:17">
      <c r="A61" t="s">
        <v>104</v>
      </c>
      <c r="B61" t="str">
        <f>VLOOKUP(A61,PW!A:C,3,0)</f>
        <v>Alanine, aspartate</v>
      </c>
      <c r="C61" t="str">
        <f t="shared" si="0"/>
        <v>CAD-&gt;GLS2</v>
      </c>
      <c r="D61" t="s">
        <v>325</v>
      </c>
      <c r="E61" t="s">
        <v>326</v>
      </c>
      <c r="F61" s="27">
        <v>0.59981484299999999</v>
      </c>
      <c r="G61" s="27">
        <v>0.59981484299999999</v>
      </c>
      <c r="H61" s="27">
        <v>1.9043102999999999E-2</v>
      </c>
      <c r="I61" s="27">
        <v>0.25378521500000001</v>
      </c>
      <c r="Q61" s="13"/>
    </row>
    <row r="62" spans="1:17">
      <c r="A62" t="s">
        <v>129</v>
      </c>
      <c r="B62" t="str">
        <f>VLOOKUP(A62,PW!A:C,3,0)</f>
        <v>IL‑17 signaling path</v>
      </c>
      <c r="C62" t="str">
        <f t="shared" si="0"/>
        <v>NFKB1-&gt;CXCL1</v>
      </c>
      <c r="D62" t="s">
        <v>272</v>
      </c>
      <c r="E62" t="s">
        <v>327</v>
      </c>
      <c r="F62" s="27">
        <v>-0.598652038</v>
      </c>
      <c r="G62" s="27">
        <v>0.598652038</v>
      </c>
      <c r="H62" s="27">
        <v>1.8199805999999999E-2</v>
      </c>
      <c r="I62" s="27">
        <v>0.25278369299999998</v>
      </c>
    </row>
    <row r="63" spans="1:17">
      <c r="A63" t="s">
        <v>110</v>
      </c>
      <c r="B63" t="str">
        <f>VLOOKUP(A63,PW!A:C,3,0)</f>
        <v>Alcoholic liver dise</v>
      </c>
      <c r="C63" t="str">
        <f t="shared" si="0"/>
        <v>NFKB1-&gt;CXCL1</v>
      </c>
      <c r="D63" t="s">
        <v>272</v>
      </c>
      <c r="E63" t="s">
        <v>327</v>
      </c>
      <c r="F63" s="27">
        <v>-0.598652038</v>
      </c>
      <c r="G63" s="27">
        <v>0.598652038</v>
      </c>
      <c r="H63" s="27">
        <v>1.8199805999999999E-2</v>
      </c>
      <c r="I63" s="27">
        <v>0.25278369299999998</v>
      </c>
    </row>
    <row r="64" spans="1:17">
      <c r="A64" t="s">
        <v>112</v>
      </c>
      <c r="B64" t="str">
        <f>VLOOKUP(A64,PW!A:C,3,0)</f>
        <v>Epithelial cell sign</v>
      </c>
      <c r="C64" t="str">
        <f t="shared" si="0"/>
        <v>NFKB1-&gt;CXCL1</v>
      </c>
      <c r="D64" t="s">
        <v>272</v>
      </c>
      <c r="E64" t="s">
        <v>327</v>
      </c>
      <c r="F64" s="27">
        <v>-0.598652038</v>
      </c>
      <c r="G64" s="27">
        <v>0.598652038</v>
      </c>
      <c r="H64" s="27">
        <v>1.8199805999999999E-2</v>
      </c>
      <c r="I64" s="27">
        <v>0.25278369299999998</v>
      </c>
    </row>
    <row r="65" spans="1:9">
      <c r="A65" t="s">
        <v>155</v>
      </c>
      <c r="B65" t="str">
        <f>VLOOKUP(A65,PW!A:C,3,0)</f>
        <v>Kaposi sarcoma‑assoc</v>
      </c>
      <c r="C65" t="str">
        <f t="shared" si="0"/>
        <v>NFKB1-&gt;CXCL1</v>
      </c>
      <c r="D65" t="s">
        <v>272</v>
      </c>
      <c r="E65" t="s">
        <v>327</v>
      </c>
      <c r="F65" s="27">
        <v>-0.598652038</v>
      </c>
      <c r="G65" s="27">
        <v>0.598652038</v>
      </c>
      <c r="H65" s="27">
        <v>1.8199805999999999E-2</v>
      </c>
      <c r="I65" s="27">
        <v>0.25278369299999998</v>
      </c>
    </row>
    <row r="66" spans="1:9">
      <c r="A66" t="s">
        <v>131</v>
      </c>
      <c r="B66" t="str">
        <f>VLOOKUP(A66,PW!A:C,3,0)</f>
        <v>Lipid and atheroscle</v>
      </c>
      <c r="C66" t="str">
        <f t="shared" ref="C66:C129" si="1">D66&amp;"-&gt;"&amp;E66</f>
        <v>NFKB1-&gt;CXCL1</v>
      </c>
      <c r="D66" t="s">
        <v>272</v>
      </c>
      <c r="E66" t="s">
        <v>327</v>
      </c>
      <c r="F66" s="27">
        <v>-0.598652038</v>
      </c>
      <c r="G66" s="27">
        <v>0.598652038</v>
      </c>
      <c r="H66" s="27">
        <v>1.8199805999999999E-2</v>
      </c>
      <c r="I66" s="27">
        <v>0.25278369299999998</v>
      </c>
    </row>
    <row r="67" spans="1:9">
      <c r="A67" t="s">
        <v>143</v>
      </c>
      <c r="B67" t="str">
        <f>VLOOKUP(A67,PW!A:C,3,0)</f>
        <v>Th1 and Th2 cell dif</v>
      </c>
      <c r="C67" t="str">
        <f t="shared" si="1"/>
        <v>NFKB1-&gt;GATA3</v>
      </c>
      <c r="D67" t="s">
        <v>272</v>
      </c>
      <c r="E67" t="s">
        <v>328</v>
      </c>
      <c r="F67" s="27">
        <v>0.59787929299999998</v>
      </c>
      <c r="G67" s="27">
        <v>0.59787929299999998</v>
      </c>
      <c r="H67" s="27">
        <v>2.6654115999999999E-2</v>
      </c>
      <c r="I67" s="27">
        <v>0.29035814700000001</v>
      </c>
    </row>
    <row r="68" spans="1:9">
      <c r="A68" t="s">
        <v>191</v>
      </c>
      <c r="B68" t="str">
        <f>VLOOKUP(A68,PW!A:C,3,0)</f>
        <v>Renin–angiotensin sy</v>
      </c>
      <c r="C68" t="str">
        <f t="shared" si="1"/>
        <v>MME-&gt;ACE</v>
      </c>
      <c r="D68" t="s">
        <v>329</v>
      </c>
      <c r="E68" t="s">
        <v>330</v>
      </c>
      <c r="F68" s="27">
        <v>-0.58166774099999996</v>
      </c>
      <c r="G68" s="27">
        <v>0.58166774099999996</v>
      </c>
      <c r="H68" s="27">
        <v>1.04048E-4</v>
      </c>
      <c r="I68" s="27">
        <v>3.085734E-2</v>
      </c>
    </row>
    <row r="69" spans="1:9">
      <c r="A69" t="s">
        <v>153</v>
      </c>
      <c r="B69" t="str">
        <f>VLOOKUP(A69,PW!A:C,3,0)</f>
        <v>Arachidonic acid met</v>
      </c>
      <c r="C69" t="str">
        <f t="shared" si="1"/>
        <v>ALOX12-&gt;ALOX15</v>
      </c>
      <c r="D69" t="s">
        <v>331</v>
      </c>
      <c r="E69" t="s">
        <v>332</v>
      </c>
      <c r="F69" s="27">
        <v>-0.58058889599999997</v>
      </c>
      <c r="G69" s="27">
        <v>0.58058889599999997</v>
      </c>
      <c r="H69" s="27">
        <v>4.7265229999999998E-2</v>
      </c>
      <c r="I69" s="27">
        <v>0.349255388</v>
      </c>
    </row>
    <row r="70" spans="1:9">
      <c r="A70" t="s">
        <v>114</v>
      </c>
      <c r="B70" t="str">
        <f>VLOOKUP(A70,PW!A:C,3,0)</f>
        <v>Leukocyte transendot</v>
      </c>
      <c r="C70" t="str">
        <f t="shared" si="1"/>
        <v>GNAI1-&gt;RAPGEF3</v>
      </c>
      <c r="D70" t="s">
        <v>333</v>
      </c>
      <c r="E70" t="s">
        <v>334</v>
      </c>
      <c r="F70" s="27">
        <v>0.56720530000000002</v>
      </c>
      <c r="G70" s="27">
        <v>0.56720530000000002</v>
      </c>
      <c r="H70" s="27">
        <v>3.1082950000000001E-3</v>
      </c>
      <c r="I70" s="27">
        <v>0.12681842700000001</v>
      </c>
    </row>
    <row r="71" spans="1:9">
      <c r="A71" t="s">
        <v>129</v>
      </c>
      <c r="B71" t="str">
        <f>VLOOKUP(A71,PW!A:C,3,0)</f>
        <v>IL‑17 signaling path</v>
      </c>
      <c r="C71" t="str">
        <f t="shared" si="1"/>
        <v>FOS-&gt;CXCL10</v>
      </c>
      <c r="D71" t="s">
        <v>319</v>
      </c>
      <c r="E71" t="s">
        <v>335</v>
      </c>
      <c r="F71" s="27">
        <v>-0.56578400500000003</v>
      </c>
      <c r="G71" s="27">
        <v>0.56578400500000003</v>
      </c>
      <c r="H71" s="27">
        <v>2.7725364999999998E-2</v>
      </c>
      <c r="I71" s="27">
        <v>0.29116463300000001</v>
      </c>
    </row>
    <row r="72" spans="1:9">
      <c r="A72" t="s">
        <v>143</v>
      </c>
      <c r="B72" t="str">
        <f>VLOOKUP(A72,PW!A:C,3,0)</f>
        <v>Th1 and Th2 cell dif</v>
      </c>
      <c r="C72" t="str">
        <f t="shared" si="1"/>
        <v>STAT6-&gt;GATA3</v>
      </c>
      <c r="D72" t="s">
        <v>336</v>
      </c>
      <c r="E72" t="s">
        <v>328</v>
      </c>
      <c r="F72" s="27">
        <v>0.544584332</v>
      </c>
      <c r="G72" s="27">
        <v>0.544584332</v>
      </c>
      <c r="H72" s="27">
        <v>1.4729661999999999E-2</v>
      </c>
      <c r="I72" s="27">
        <v>0.23038882099999999</v>
      </c>
    </row>
    <row r="73" spans="1:9">
      <c r="A73" t="s">
        <v>18</v>
      </c>
      <c r="B73" t="str">
        <f>VLOOKUP(A73,PW!A:C,3,0)</f>
        <v>Th17 cell differenti</v>
      </c>
      <c r="C73" t="str">
        <f t="shared" si="1"/>
        <v>STAT6-&gt;GATA3</v>
      </c>
      <c r="D73" t="s">
        <v>336</v>
      </c>
      <c r="E73" t="s">
        <v>328</v>
      </c>
      <c r="F73" s="27">
        <v>0.544584332</v>
      </c>
      <c r="G73" s="27">
        <v>0.544584332</v>
      </c>
      <c r="H73" s="27">
        <v>1.4729661999999999E-2</v>
      </c>
      <c r="I73" s="27">
        <v>0.23038882099999999</v>
      </c>
    </row>
    <row r="74" spans="1:9">
      <c r="A74" t="s">
        <v>120</v>
      </c>
      <c r="B74" t="str">
        <f>VLOOKUP(A74,PW!A:C,3,0)</f>
        <v>Inflammatory bowel d</v>
      </c>
      <c r="C74" t="str">
        <f t="shared" si="1"/>
        <v>STAT6-&gt;GATA3</v>
      </c>
      <c r="D74" t="s">
        <v>336</v>
      </c>
      <c r="E74" t="s">
        <v>328</v>
      </c>
      <c r="F74" s="27">
        <v>0.544584332</v>
      </c>
      <c r="G74" s="27">
        <v>0.544584332</v>
      </c>
      <c r="H74" s="27">
        <v>1.4729661999999999E-2</v>
      </c>
      <c r="I74" s="27">
        <v>0.23038882099999999</v>
      </c>
    </row>
    <row r="75" spans="1:9">
      <c r="A75" t="s">
        <v>36</v>
      </c>
      <c r="B75" t="str">
        <f>VLOOKUP(A75,PW!A:C,3,0)</f>
        <v>Tuberculosis</v>
      </c>
      <c r="C75" t="str">
        <f t="shared" si="1"/>
        <v>MAPK1-&gt;IL23A</v>
      </c>
      <c r="D75" t="s">
        <v>337</v>
      </c>
      <c r="E75" t="s">
        <v>277</v>
      </c>
      <c r="F75" s="27">
        <v>0.54249927200000003</v>
      </c>
      <c r="G75" s="27">
        <v>0.54249927200000003</v>
      </c>
      <c r="H75" s="27">
        <v>4.437519E-3</v>
      </c>
      <c r="I75" s="27">
        <v>0.143406546</v>
      </c>
    </row>
    <row r="76" spans="1:9">
      <c r="A76" t="s">
        <v>122</v>
      </c>
      <c r="B76" t="str">
        <f>VLOOKUP(A76,PW!A:C,3,0)</f>
        <v>HIV‑1 infection</v>
      </c>
      <c r="C76" t="str">
        <f t="shared" si="1"/>
        <v>IRF3-&gt;TRIM5</v>
      </c>
      <c r="D76" t="s">
        <v>338</v>
      </c>
      <c r="E76" t="s">
        <v>339</v>
      </c>
      <c r="F76" s="27">
        <v>0.53443940199999995</v>
      </c>
      <c r="G76" s="27">
        <v>0.53443940199999995</v>
      </c>
      <c r="H76" s="27">
        <v>3.4709110000000001E-3</v>
      </c>
      <c r="I76" s="27">
        <v>0.131733196</v>
      </c>
    </row>
    <row r="77" spans="1:9">
      <c r="A77" t="s">
        <v>185</v>
      </c>
      <c r="B77" t="str">
        <f>VLOOKUP(A77,PW!A:C,3,0)</f>
        <v>Phosphatidylinositol</v>
      </c>
      <c r="C77" t="str">
        <f t="shared" si="1"/>
        <v>INPP5B-&gt;PLCD3</v>
      </c>
      <c r="D77" t="s">
        <v>340</v>
      </c>
      <c r="E77" t="s">
        <v>341</v>
      </c>
      <c r="F77" s="27">
        <v>0.53322039700000001</v>
      </c>
      <c r="G77" s="27">
        <v>0.53322039700000001</v>
      </c>
      <c r="H77" s="27">
        <v>3.4929215999999999E-2</v>
      </c>
      <c r="I77" s="27">
        <v>0.31235331999999999</v>
      </c>
    </row>
    <row r="78" spans="1:9">
      <c r="A78" t="s">
        <v>18</v>
      </c>
      <c r="B78" t="str">
        <f>VLOOKUP(A78,PW!A:C,3,0)</f>
        <v>Th17 cell differenti</v>
      </c>
      <c r="C78" t="str">
        <f t="shared" si="1"/>
        <v>STAT3-&gt;RORC</v>
      </c>
      <c r="D78" t="s">
        <v>289</v>
      </c>
      <c r="E78" t="s">
        <v>260</v>
      </c>
      <c r="F78" s="27">
        <v>0.52327483200000002</v>
      </c>
      <c r="G78" s="27">
        <v>0.52327483200000002</v>
      </c>
      <c r="H78" s="27">
        <v>1.3151916E-2</v>
      </c>
      <c r="I78" s="27">
        <v>0.22329868</v>
      </c>
    </row>
    <row r="79" spans="1:9">
      <c r="A79" t="s">
        <v>120</v>
      </c>
      <c r="B79" t="str">
        <f>VLOOKUP(A79,PW!A:C,3,0)</f>
        <v>Inflammatory bowel d</v>
      </c>
      <c r="C79" t="str">
        <f t="shared" si="1"/>
        <v>STAT3-&gt;RORC</v>
      </c>
      <c r="D79" t="s">
        <v>289</v>
      </c>
      <c r="E79" t="s">
        <v>260</v>
      </c>
      <c r="F79" s="27">
        <v>0.52327483200000002</v>
      </c>
      <c r="G79" s="27">
        <v>0.52327483200000002</v>
      </c>
      <c r="H79" s="27">
        <v>1.3151916E-2</v>
      </c>
      <c r="I79" s="27">
        <v>0.22329868</v>
      </c>
    </row>
    <row r="80" spans="1:9">
      <c r="A80" t="s">
        <v>185</v>
      </c>
      <c r="B80" t="str">
        <f>VLOOKUP(A80,PW!A:C,3,0)</f>
        <v>Phosphatidylinositol</v>
      </c>
      <c r="C80" t="str">
        <f t="shared" si="1"/>
        <v>MTM1-&gt;PIP4P2</v>
      </c>
      <c r="D80" t="s">
        <v>342</v>
      </c>
      <c r="E80" t="s">
        <v>343</v>
      </c>
      <c r="F80" s="27">
        <v>-0.52320913599999996</v>
      </c>
      <c r="G80" s="27">
        <v>0.52320913599999996</v>
      </c>
      <c r="H80" s="27">
        <v>1.4734353E-2</v>
      </c>
      <c r="I80" s="27">
        <v>0.23038882099999999</v>
      </c>
    </row>
    <row r="81" spans="1:17">
      <c r="A81" t="s">
        <v>127</v>
      </c>
      <c r="B81" t="str">
        <f>VLOOKUP(A81,PW!A:C,3,0)</f>
        <v>Nicotinate and nicot</v>
      </c>
      <c r="C81" t="str">
        <f t="shared" si="1"/>
        <v>NADSYN1-&gt;SARM1</v>
      </c>
      <c r="D81" t="s">
        <v>256</v>
      </c>
      <c r="E81" t="s">
        <v>344</v>
      </c>
      <c r="F81" s="27">
        <v>0.51419451100000002</v>
      </c>
      <c r="G81" s="27">
        <v>0.51419451100000002</v>
      </c>
      <c r="H81" s="27">
        <v>1.2765537E-2</v>
      </c>
      <c r="I81" s="27">
        <v>0.22281664500000001</v>
      </c>
    </row>
    <row r="82" spans="1:17">
      <c r="A82" t="s">
        <v>164</v>
      </c>
      <c r="B82" t="str">
        <f>VLOOKUP(A82,PW!A:C,3,0)</f>
        <v xml:space="preserve">Pyruvate metabolism </v>
      </c>
      <c r="C82" t="str">
        <f t="shared" si="1"/>
        <v>GLO1-&gt;HAGH</v>
      </c>
      <c r="D82" t="s">
        <v>345</v>
      </c>
      <c r="E82" t="s">
        <v>346</v>
      </c>
      <c r="F82" s="27">
        <v>-0.50719403299999999</v>
      </c>
      <c r="G82" s="27">
        <v>0.50719403299999999</v>
      </c>
      <c r="H82" s="27">
        <v>1.6199359E-2</v>
      </c>
      <c r="I82" s="27">
        <v>0.24010305500000001</v>
      </c>
    </row>
    <row r="83" spans="1:17">
      <c r="A83" t="s">
        <v>171</v>
      </c>
      <c r="B83" t="str">
        <f>VLOOKUP(A83,PW!A:C,3,0)</f>
        <v>Apoptosis</v>
      </c>
      <c r="C83" t="str">
        <f t="shared" si="1"/>
        <v>NFKB1-&gt;BCL2A1</v>
      </c>
      <c r="D83" t="s">
        <v>272</v>
      </c>
      <c r="E83" t="s">
        <v>347</v>
      </c>
      <c r="F83" s="27">
        <v>-0.50568882400000004</v>
      </c>
      <c r="G83" s="27">
        <v>0.50568882400000004</v>
      </c>
      <c r="H83" s="27">
        <v>2.8140963000000001E-2</v>
      </c>
      <c r="I83" s="27">
        <v>0.29116463300000001</v>
      </c>
    </row>
    <row r="84" spans="1:17">
      <c r="A84" t="s">
        <v>125</v>
      </c>
      <c r="B84" t="str">
        <f>VLOOKUP(A84,PW!A:C,3,0)</f>
        <v>Insulin signaling pa</v>
      </c>
      <c r="C84" t="str">
        <f t="shared" si="1"/>
        <v>FOXO1-&gt;FBP1</v>
      </c>
      <c r="D84" t="s">
        <v>348</v>
      </c>
      <c r="E84" t="s">
        <v>349</v>
      </c>
      <c r="F84" s="27">
        <v>0.50450133399999997</v>
      </c>
      <c r="G84" s="27">
        <v>0.50450133399999997</v>
      </c>
      <c r="H84" s="27">
        <v>2.6875401E-2</v>
      </c>
      <c r="I84" s="27">
        <v>0.29035814700000001</v>
      </c>
    </row>
    <row r="85" spans="1:17">
      <c r="A85" t="s">
        <v>178</v>
      </c>
      <c r="B85" t="str">
        <f>VLOOKUP(A85,PW!A:C,3,0)</f>
        <v>Terpenoid backbone b</v>
      </c>
      <c r="C85" t="str">
        <f t="shared" si="1"/>
        <v>FDPS-&gt;IDI1</v>
      </c>
      <c r="D85" t="s">
        <v>350</v>
      </c>
      <c r="E85" t="s">
        <v>351</v>
      </c>
      <c r="F85" s="27">
        <v>-0.50438516799999999</v>
      </c>
      <c r="G85" s="27">
        <v>0.50438516799999999</v>
      </c>
      <c r="H85" s="27">
        <v>4.2981693000000001E-2</v>
      </c>
      <c r="I85" s="27">
        <v>0.33945918000000003</v>
      </c>
    </row>
    <row r="86" spans="1:17">
      <c r="A86" t="s">
        <v>143</v>
      </c>
      <c r="B86" t="str">
        <f>VLOOKUP(A86,PW!A:C,3,0)</f>
        <v>Th1 and Th2 cell dif</v>
      </c>
      <c r="C86" t="str">
        <f t="shared" si="1"/>
        <v>STAT6-&gt;IL2RA</v>
      </c>
      <c r="D86" t="s">
        <v>336</v>
      </c>
      <c r="E86" t="s">
        <v>306</v>
      </c>
      <c r="F86" s="27">
        <v>0.49491254099999998</v>
      </c>
      <c r="G86" s="27">
        <v>0.49491254099999998</v>
      </c>
      <c r="H86" s="27">
        <v>2.7308196E-2</v>
      </c>
      <c r="I86" s="27">
        <v>0.29035814700000001</v>
      </c>
    </row>
    <row r="87" spans="1:17">
      <c r="A87" t="s">
        <v>129</v>
      </c>
      <c r="B87" t="str">
        <f>VLOOKUP(A87,PW!A:C,3,0)</f>
        <v>IL‑17 signaling path</v>
      </c>
      <c r="C87" t="str">
        <f t="shared" si="1"/>
        <v>NFKB1-&gt;S100A8</v>
      </c>
      <c r="D87" t="s">
        <v>272</v>
      </c>
      <c r="E87" t="s">
        <v>352</v>
      </c>
      <c r="F87" s="27">
        <v>-0.48912459600000002</v>
      </c>
      <c r="G87" s="27">
        <v>0.48912459600000002</v>
      </c>
      <c r="H87" s="27">
        <v>3.9111053E-2</v>
      </c>
      <c r="I87" s="27">
        <v>0.326492265</v>
      </c>
    </row>
    <row r="88" spans="1:17">
      <c r="A88" t="s">
        <v>101</v>
      </c>
      <c r="B88" t="str">
        <f>VLOOKUP(A88,PW!A:C,3,0)</f>
        <v>Purine metabolism</v>
      </c>
      <c r="C88" t="str">
        <f t="shared" si="1"/>
        <v>ADSL-&gt;NT5C1B-RDH14</v>
      </c>
      <c r="D88" t="s">
        <v>353</v>
      </c>
      <c r="E88" t="s">
        <v>290</v>
      </c>
      <c r="F88" s="27">
        <v>0.48435625999999998</v>
      </c>
      <c r="G88" s="27">
        <v>0.48435625999999998</v>
      </c>
      <c r="H88" s="27">
        <v>1.2985106E-2</v>
      </c>
      <c r="I88" s="27">
        <v>0.22329868</v>
      </c>
      <c r="Q88" s="13"/>
    </row>
    <row r="89" spans="1:17">
      <c r="A89" t="s">
        <v>177</v>
      </c>
      <c r="B89" t="str">
        <f>VLOOKUP(A89,PW!A:C,3,0)</f>
        <v>Porphyrin and chloro</v>
      </c>
      <c r="C89" t="str">
        <f t="shared" si="1"/>
        <v>COX15-&gt;COX10</v>
      </c>
      <c r="D89" t="s">
        <v>354</v>
      </c>
      <c r="E89" t="s">
        <v>355</v>
      </c>
      <c r="F89" s="27">
        <v>0.48060325799999998</v>
      </c>
      <c r="G89" s="27">
        <v>0.48060325799999998</v>
      </c>
      <c r="H89" s="27">
        <v>5.9595610000000004E-3</v>
      </c>
      <c r="I89" s="27">
        <v>0.165613279</v>
      </c>
    </row>
    <row r="90" spans="1:17">
      <c r="A90" t="s">
        <v>135</v>
      </c>
      <c r="B90" t="str">
        <f>VLOOKUP(A90,PW!A:C,3,0)</f>
        <v>C‑type lectin recept</v>
      </c>
      <c r="C90" t="str">
        <f t="shared" si="1"/>
        <v>NFATC1-&gt;IL10</v>
      </c>
      <c r="D90" t="s">
        <v>274</v>
      </c>
      <c r="E90" t="s">
        <v>273</v>
      </c>
      <c r="F90" s="27">
        <v>0.47970207300000001</v>
      </c>
      <c r="G90" s="27">
        <v>0.47970207300000001</v>
      </c>
      <c r="H90" s="27">
        <v>3.3938639999999999E-2</v>
      </c>
      <c r="I90" s="27">
        <v>0.307710339</v>
      </c>
    </row>
    <row r="91" spans="1:17">
      <c r="A91" t="s">
        <v>116</v>
      </c>
      <c r="B91" t="str">
        <f>VLOOKUP(A91,PW!A:C,3,0)</f>
        <v>T cell receptor sign</v>
      </c>
      <c r="C91" t="str">
        <f t="shared" si="1"/>
        <v>NFATC1-&gt;IL10</v>
      </c>
      <c r="D91" t="s">
        <v>274</v>
      </c>
      <c r="E91" t="s">
        <v>273</v>
      </c>
      <c r="F91" s="27">
        <v>0.47970207300000001</v>
      </c>
      <c r="G91" s="27">
        <v>0.47970207300000001</v>
      </c>
      <c r="H91" s="27">
        <v>3.3938639999999999E-2</v>
      </c>
      <c r="I91" s="27">
        <v>0.307710339</v>
      </c>
    </row>
    <row r="92" spans="1:17">
      <c r="A92" t="s">
        <v>27</v>
      </c>
      <c r="B92" t="str">
        <f>VLOOKUP(A92,PW!A:C,3,0)</f>
        <v>Yersinia infection K</v>
      </c>
      <c r="C92" t="str">
        <f t="shared" si="1"/>
        <v>NFATC1-&gt;IL10</v>
      </c>
      <c r="D92" t="s">
        <v>274</v>
      </c>
      <c r="E92" t="s">
        <v>273</v>
      </c>
      <c r="F92" s="27">
        <v>0.47970207300000001</v>
      </c>
      <c r="G92" s="27">
        <v>0.47970207300000001</v>
      </c>
      <c r="H92" s="27">
        <v>3.3938639999999999E-2</v>
      </c>
      <c r="I92" s="27">
        <v>0.307710339</v>
      </c>
    </row>
    <row r="93" spans="1:17">
      <c r="A93" t="s">
        <v>102</v>
      </c>
      <c r="B93" t="str">
        <f>VLOOKUP(A93,PW!A:C,3,0)</f>
        <v>Pyrimidine metabolism</v>
      </c>
      <c r="C93" t="str">
        <f t="shared" si="1"/>
        <v>NME6-&gt;RRM2B</v>
      </c>
      <c r="D93" t="s">
        <v>285</v>
      </c>
      <c r="E93" t="s">
        <v>356</v>
      </c>
      <c r="F93" s="27">
        <v>-0.47953641600000002</v>
      </c>
      <c r="G93" s="27">
        <v>0.47953641600000002</v>
      </c>
      <c r="H93" s="27">
        <v>1.3272042E-2</v>
      </c>
      <c r="I93" s="27">
        <v>0.22329868</v>
      </c>
      <c r="Q93" s="13"/>
    </row>
    <row r="94" spans="1:17">
      <c r="A94" t="s">
        <v>183</v>
      </c>
      <c r="B94" t="str">
        <f>VLOOKUP(A94,PW!A:C,3,0)</f>
        <v>Drug metabolism</v>
      </c>
      <c r="C94" t="str">
        <f t="shared" si="1"/>
        <v>NME6-&gt;RRM2B</v>
      </c>
      <c r="D94" t="s">
        <v>285</v>
      </c>
      <c r="E94" t="s">
        <v>356</v>
      </c>
      <c r="F94" s="27">
        <v>-0.47953641600000002</v>
      </c>
      <c r="G94" s="27">
        <v>0.47953641600000002</v>
      </c>
      <c r="H94" s="27">
        <v>1.3272042E-2</v>
      </c>
      <c r="I94" s="27">
        <v>0.22329868</v>
      </c>
    </row>
    <row r="95" spans="1:17">
      <c r="A95" t="s">
        <v>156</v>
      </c>
      <c r="B95" t="str">
        <f>VLOOKUP(A95,PW!A:C,3,0)</f>
        <v>Sphingolipid metabol</v>
      </c>
      <c r="C95" t="str">
        <f t="shared" si="1"/>
        <v>SGPP2-&gt;UGT8</v>
      </c>
      <c r="D95" t="s">
        <v>357</v>
      </c>
      <c r="E95" t="s">
        <v>358</v>
      </c>
      <c r="F95" s="27">
        <v>0.47814112800000003</v>
      </c>
      <c r="G95" s="27">
        <v>0.47814112800000003</v>
      </c>
      <c r="H95" s="27">
        <v>1.2177743E-2</v>
      </c>
      <c r="I95" s="27">
        <v>0.22281664500000001</v>
      </c>
    </row>
    <row r="96" spans="1:17">
      <c r="A96" t="s">
        <v>149</v>
      </c>
      <c r="B96" t="str">
        <f>VLOOKUP(A96,PW!A:C,3,0)</f>
        <v xml:space="preserve">Glycerophospholipid </v>
      </c>
      <c r="C96" t="str">
        <f t="shared" si="1"/>
        <v>CEPT1-&gt;PCYT1A</v>
      </c>
      <c r="D96" t="s">
        <v>295</v>
      </c>
      <c r="E96" t="s">
        <v>359</v>
      </c>
      <c r="F96" s="27">
        <v>-0.47504664600000002</v>
      </c>
      <c r="G96" s="27">
        <v>0.47504664600000002</v>
      </c>
      <c r="H96" s="27">
        <v>6.6403490000000003E-3</v>
      </c>
      <c r="I96" s="27">
        <v>0.165613279</v>
      </c>
    </row>
    <row r="97" spans="1:9">
      <c r="A97" t="s">
        <v>137</v>
      </c>
      <c r="B97" t="str">
        <f>VLOOKUP(A97,PW!A:C,3,0)</f>
        <v>Retinol metabolism</v>
      </c>
      <c r="C97" t="str">
        <f t="shared" si="1"/>
        <v>RETSAT-&gt;RDH13</v>
      </c>
      <c r="D97" t="s">
        <v>360</v>
      </c>
      <c r="E97" t="s">
        <v>361</v>
      </c>
      <c r="F97" s="27">
        <v>0.47304425500000002</v>
      </c>
      <c r="G97" s="27">
        <v>0.47304425500000002</v>
      </c>
      <c r="H97" s="27">
        <v>3.3326430999999997E-2</v>
      </c>
      <c r="I97" s="27">
        <v>0.307710339</v>
      </c>
    </row>
    <row r="98" spans="1:9">
      <c r="A98" t="s">
        <v>121</v>
      </c>
      <c r="B98" t="str">
        <f>VLOOKUP(A98,PW!A:C,3,0)</f>
        <v>β-Alanine metabolism</v>
      </c>
      <c r="C98" t="str">
        <f t="shared" si="1"/>
        <v>ABAT-&gt;ALDH2</v>
      </c>
      <c r="D98" t="s">
        <v>362</v>
      </c>
      <c r="E98" t="s">
        <v>299</v>
      </c>
      <c r="F98" s="27">
        <v>-0.47151221900000001</v>
      </c>
      <c r="G98" s="27">
        <v>0.47151221900000001</v>
      </c>
      <c r="H98" s="27">
        <v>2.802283E-3</v>
      </c>
      <c r="I98" s="27">
        <v>0.11878770399999999</v>
      </c>
    </row>
    <row r="99" spans="1:9">
      <c r="A99" t="s">
        <v>173</v>
      </c>
      <c r="B99" t="str">
        <f>VLOOKUP(A99,PW!A:C,3,0)</f>
        <v>p53 signaling pathwa</v>
      </c>
      <c r="C99" t="str">
        <f t="shared" si="1"/>
        <v>TP53-&gt;SESN3</v>
      </c>
      <c r="D99" t="s">
        <v>315</v>
      </c>
      <c r="E99" t="s">
        <v>363</v>
      </c>
      <c r="F99" s="27">
        <v>-0.47061990199999998</v>
      </c>
      <c r="G99" s="27">
        <v>0.47061990199999998</v>
      </c>
      <c r="H99" s="27">
        <v>4.0396709000000003E-2</v>
      </c>
      <c r="I99" s="27">
        <v>0.33046330000000002</v>
      </c>
    </row>
    <row r="100" spans="1:9">
      <c r="A100" t="s">
        <v>181</v>
      </c>
      <c r="B100" t="str">
        <f>VLOOKUP(A100,PW!A:C,3,0)</f>
        <v>Longevity regulating</v>
      </c>
      <c r="C100" t="str">
        <f t="shared" si="1"/>
        <v>TP53-&gt;SESN3</v>
      </c>
      <c r="D100" t="s">
        <v>315</v>
      </c>
      <c r="E100" t="s">
        <v>363</v>
      </c>
      <c r="F100" s="27">
        <v>-0.47061990199999998</v>
      </c>
      <c r="G100" s="27">
        <v>0.47061990199999998</v>
      </c>
      <c r="H100" s="27">
        <v>4.0396709000000003E-2</v>
      </c>
      <c r="I100" s="27">
        <v>0.33046330000000002</v>
      </c>
    </row>
    <row r="101" spans="1:9">
      <c r="A101" t="s">
        <v>139</v>
      </c>
      <c r="B101" t="str">
        <f>VLOOKUP(A101,PW!A:C,3,0)</f>
        <v>Toxoplasmosis</v>
      </c>
      <c r="C101" t="str">
        <f t="shared" si="1"/>
        <v>STAT3-&gt;IL12A</v>
      </c>
      <c r="D101" t="s">
        <v>289</v>
      </c>
      <c r="E101" t="s">
        <v>364</v>
      </c>
      <c r="F101" s="27">
        <v>0.46707600700000002</v>
      </c>
      <c r="G101" s="27">
        <v>0.46707600700000002</v>
      </c>
      <c r="H101" s="27">
        <v>4.1675757000000001E-2</v>
      </c>
      <c r="I101" s="27">
        <v>0.33523462199999998</v>
      </c>
    </row>
    <row r="102" spans="1:9">
      <c r="A102" t="s">
        <v>153</v>
      </c>
      <c r="B102" t="str">
        <f>VLOOKUP(A102,PW!A:C,3,0)</f>
        <v>Arachidonic acid met</v>
      </c>
      <c r="C102" t="str">
        <f t="shared" si="1"/>
        <v>GPX4-&gt;ALOX12</v>
      </c>
      <c r="D102" t="s">
        <v>365</v>
      </c>
      <c r="E102" t="s">
        <v>331</v>
      </c>
      <c r="F102" s="27">
        <v>-0.46684330699999999</v>
      </c>
      <c r="G102" s="27">
        <v>0.46684330699999999</v>
      </c>
      <c r="H102" s="27">
        <v>2.1527389999999999E-3</v>
      </c>
      <c r="I102" s="27">
        <v>0.10805922900000001</v>
      </c>
    </row>
    <row r="103" spans="1:9">
      <c r="A103" t="s">
        <v>129</v>
      </c>
      <c r="B103" t="str">
        <f>VLOOKUP(A103,PW!A:C,3,0)</f>
        <v>IL‑17 signaling path</v>
      </c>
      <c r="C103" t="str">
        <f t="shared" si="1"/>
        <v>CEBPB-&gt;CXCL8</v>
      </c>
      <c r="D103" t="s">
        <v>366</v>
      </c>
      <c r="E103" t="s">
        <v>302</v>
      </c>
      <c r="F103" s="27">
        <v>-0.46658352600000003</v>
      </c>
      <c r="G103" s="27">
        <v>0.46658352600000003</v>
      </c>
      <c r="H103" s="27">
        <v>4.7115771000000001E-2</v>
      </c>
      <c r="I103" s="27">
        <v>0.349255388</v>
      </c>
    </row>
    <row r="104" spans="1:9">
      <c r="A104" t="s">
        <v>171</v>
      </c>
      <c r="B104" t="str">
        <f>VLOOKUP(A104,PW!A:C,3,0)</f>
        <v>Apoptosis</v>
      </c>
      <c r="C104" t="str">
        <f t="shared" si="1"/>
        <v>JUN-&gt;FASLG</v>
      </c>
      <c r="D104" t="s">
        <v>367</v>
      </c>
      <c r="E104" t="s">
        <v>368</v>
      </c>
      <c r="F104" s="27">
        <v>0.46653130500000001</v>
      </c>
      <c r="G104" s="27">
        <v>0.46653130500000001</v>
      </c>
      <c r="H104" s="27">
        <v>3.3414959999999998E-3</v>
      </c>
      <c r="I104" s="27">
        <v>0.13074894000000001</v>
      </c>
    </row>
    <row r="105" spans="1:9">
      <c r="A105" t="s">
        <v>139</v>
      </c>
      <c r="B105" t="str">
        <f>VLOOKUP(A105,PW!A:C,3,0)</f>
        <v>Toxoplasmosis</v>
      </c>
      <c r="C105" t="str">
        <f t="shared" si="1"/>
        <v>NFKB1-&gt;BCL2</v>
      </c>
      <c r="D105" t="s">
        <v>272</v>
      </c>
      <c r="E105" t="s">
        <v>369</v>
      </c>
      <c r="F105" s="27">
        <v>0.45986009</v>
      </c>
      <c r="G105" s="27">
        <v>0.45986009</v>
      </c>
      <c r="H105" s="27">
        <v>4.5301385E-2</v>
      </c>
      <c r="I105" s="27">
        <v>0.34012037499999997</v>
      </c>
    </row>
    <row r="106" spans="1:9">
      <c r="A106" t="s">
        <v>39</v>
      </c>
      <c r="B106" t="str">
        <f>VLOOKUP(A106,PW!A:C,3,0)</f>
        <v>Hepatitis B</v>
      </c>
      <c r="C106" t="str">
        <f t="shared" si="1"/>
        <v>NFKB1-&gt;BCL2</v>
      </c>
      <c r="D106" t="s">
        <v>272</v>
      </c>
      <c r="E106" t="s">
        <v>369</v>
      </c>
      <c r="F106" s="27">
        <v>0.45986009</v>
      </c>
      <c r="G106" s="27">
        <v>0.45986009</v>
      </c>
      <c r="H106" s="27">
        <v>4.5301385E-2</v>
      </c>
      <c r="I106" s="27">
        <v>0.34012037499999997</v>
      </c>
    </row>
    <row r="107" spans="1:9">
      <c r="A107" t="s">
        <v>163</v>
      </c>
      <c r="B107" t="str">
        <f>VLOOKUP(A107,PW!A:C,3,0)</f>
        <v>Epstein‑Barr virus i</v>
      </c>
      <c r="C107" t="str">
        <f t="shared" si="1"/>
        <v>NFKB1-&gt;BCL2</v>
      </c>
      <c r="D107" t="s">
        <v>272</v>
      </c>
      <c r="E107" t="s">
        <v>369</v>
      </c>
      <c r="F107" s="27">
        <v>0.45986009</v>
      </c>
      <c r="G107" s="27">
        <v>0.45986009</v>
      </c>
      <c r="H107" s="27">
        <v>4.5301385E-2</v>
      </c>
      <c r="I107" s="27">
        <v>0.34012037499999997</v>
      </c>
    </row>
    <row r="108" spans="1:9">
      <c r="A108" t="s">
        <v>169</v>
      </c>
      <c r="B108" t="str">
        <f>VLOOKUP(A108,PW!A:C,3,0)</f>
        <v>Pathways in cancer</v>
      </c>
      <c r="C108" t="str">
        <f t="shared" si="1"/>
        <v>NFKB1-&gt;BCL2</v>
      </c>
      <c r="D108" t="s">
        <v>272</v>
      </c>
      <c r="E108" t="s">
        <v>369</v>
      </c>
      <c r="F108" s="27">
        <v>0.45986009</v>
      </c>
      <c r="G108" s="27">
        <v>0.45986009</v>
      </c>
      <c r="H108" s="27">
        <v>4.5301385E-2</v>
      </c>
      <c r="I108" s="27">
        <v>0.34012037499999997</v>
      </c>
    </row>
    <row r="109" spans="1:9">
      <c r="A109" t="s">
        <v>141</v>
      </c>
      <c r="B109" t="str">
        <f>VLOOKUP(A109,PW!A:C,3,0)</f>
        <v>Prostate cancer</v>
      </c>
      <c r="C109" t="str">
        <f t="shared" si="1"/>
        <v>NFKB1-&gt;BCL2</v>
      </c>
      <c r="D109" t="s">
        <v>272</v>
      </c>
      <c r="E109" t="s">
        <v>369</v>
      </c>
      <c r="F109" s="27">
        <v>0.45986009</v>
      </c>
      <c r="G109" s="27">
        <v>0.45986009</v>
      </c>
      <c r="H109" s="27">
        <v>4.5301385E-2</v>
      </c>
      <c r="I109" s="27">
        <v>0.34012037499999997</v>
      </c>
    </row>
    <row r="110" spans="1:9">
      <c r="A110" t="s">
        <v>131</v>
      </c>
      <c r="B110" t="str">
        <f>VLOOKUP(A110,PW!A:C,3,0)</f>
        <v>Lipid and atheroscle</v>
      </c>
      <c r="C110" t="str">
        <f t="shared" si="1"/>
        <v>NFKB1-&gt;BCL2</v>
      </c>
      <c r="D110" t="s">
        <v>272</v>
      </c>
      <c r="E110" t="s">
        <v>369</v>
      </c>
      <c r="F110" s="27">
        <v>0.45986009</v>
      </c>
      <c r="G110" s="27">
        <v>0.45986009</v>
      </c>
      <c r="H110" s="27">
        <v>4.5301385E-2</v>
      </c>
      <c r="I110" s="27">
        <v>0.34012037499999997</v>
      </c>
    </row>
    <row r="111" spans="1:9">
      <c r="A111" t="s">
        <v>153</v>
      </c>
      <c r="B111" t="str">
        <f>VLOOKUP(A111,PW!A:C,3,0)</f>
        <v>Arachidonic acid met</v>
      </c>
      <c r="C111" t="str">
        <f t="shared" si="1"/>
        <v>PLA2G4B-&gt;ALOX5</v>
      </c>
      <c r="D111" t="s">
        <v>370</v>
      </c>
      <c r="E111" t="s">
        <v>371</v>
      </c>
      <c r="F111" s="27">
        <v>0.45946926500000002</v>
      </c>
      <c r="G111" s="27">
        <v>0.45946926500000002</v>
      </c>
      <c r="H111" s="27">
        <v>1.8568885E-2</v>
      </c>
      <c r="I111" s="27">
        <v>0.25378521500000001</v>
      </c>
    </row>
    <row r="112" spans="1:9">
      <c r="A112" t="s">
        <v>149</v>
      </c>
      <c r="B112" t="str">
        <f>VLOOKUP(A112,PW!A:C,3,0)</f>
        <v xml:space="preserve">Glycerophospholipid </v>
      </c>
      <c r="C112" t="str">
        <f t="shared" si="1"/>
        <v>CEPT1-&gt;LPCAT3</v>
      </c>
      <c r="D112" t="s">
        <v>295</v>
      </c>
      <c r="E112" t="s">
        <v>300</v>
      </c>
      <c r="F112" s="27">
        <v>-0.45855092200000003</v>
      </c>
      <c r="G112" s="27">
        <v>0.45855092200000003</v>
      </c>
      <c r="H112" s="27">
        <v>3.7144510000000001E-3</v>
      </c>
      <c r="I112" s="27">
        <v>0.136224344</v>
      </c>
    </row>
    <row r="113" spans="1:17">
      <c r="A113" t="s">
        <v>182</v>
      </c>
      <c r="B113" t="str">
        <f>VLOOKUP(A113,PW!A:C,3,0)</f>
        <v>Metabolism of xenobi</v>
      </c>
      <c r="C113" t="str">
        <f t="shared" si="1"/>
        <v>GSTO2-&gt;CYP1B1</v>
      </c>
      <c r="D113" t="s">
        <v>372</v>
      </c>
      <c r="E113" t="s">
        <v>373</v>
      </c>
      <c r="F113" s="27">
        <v>-0.45715434300000002</v>
      </c>
      <c r="G113" s="27">
        <v>0.45715434300000002</v>
      </c>
      <c r="H113" s="27">
        <v>2.9095660000000001E-3</v>
      </c>
      <c r="I113" s="27">
        <v>0.121754162</v>
      </c>
    </row>
    <row r="114" spans="1:17">
      <c r="A114" t="s">
        <v>143</v>
      </c>
      <c r="B114" t="str">
        <f>VLOOKUP(A114,PW!A:C,3,0)</f>
        <v>Th1 and Th2 cell dif</v>
      </c>
      <c r="C114" t="str">
        <f t="shared" si="1"/>
        <v>JUN-&gt;IFNG</v>
      </c>
      <c r="D114" t="s">
        <v>367</v>
      </c>
      <c r="E114" t="s">
        <v>374</v>
      </c>
      <c r="F114" s="27">
        <v>0.45607585699999997</v>
      </c>
      <c r="G114" s="27">
        <v>0.45607585699999997</v>
      </c>
      <c r="H114" s="27">
        <v>2.3479990999999999E-2</v>
      </c>
      <c r="I114" s="27">
        <v>0.27767641399999998</v>
      </c>
    </row>
    <row r="115" spans="1:17">
      <c r="A115" t="s">
        <v>120</v>
      </c>
      <c r="B115" t="str">
        <f>VLOOKUP(A115,PW!A:C,3,0)</f>
        <v>Inflammatory bowel d</v>
      </c>
      <c r="C115" t="str">
        <f t="shared" si="1"/>
        <v>JUN-&gt;IFNG</v>
      </c>
      <c r="D115" t="s">
        <v>367</v>
      </c>
      <c r="E115" t="s">
        <v>374</v>
      </c>
      <c r="F115" s="27">
        <v>0.45607585699999997</v>
      </c>
      <c r="G115" s="27">
        <v>0.45607585699999997</v>
      </c>
      <c r="H115" s="27">
        <v>2.3479990999999999E-2</v>
      </c>
      <c r="I115" s="27">
        <v>0.27767641399999998</v>
      </c>
    </row>
    <row r="116" spans="1:17">
      <c r="A116" t="s">
        <v>36</v>
      </c>
      <c r="B116" t="str">
        <f>VLOOKUP(A116,PW!A:C,3,0)</f>
        <v>Tuberculosis</v>
      </c>
      <c r="C116" t="str">
        <f t="shared" si="1"/>
        <v>NFKB1-&gt;IL18</v>
      </c>
      <c r="D116" t="s">
        <v>272</v>
      </c>
      <c r="E116" t="s">
        <v>375</v>
      </c>
      <c r="F116" s="27">
        <v>-0.44911782300000003</v>
      </c>
      <c r="G116" s="27">
        <v>0.44911782300000003</v>
      </c>
      <c r="H116" s="27">
        <v>1.2734214000000001E-2</v>
      </c>
      <c r="I116" s="27">
        <v>0.22281664500000001</v>
      </c>
    </row>
    <row r="117" spans="1:17">
      <c r="A117" t="s">
        <v>131</v>
      </c>
      <c r="B117" t="str">
        <f>VLOOKUP(A117,PW!A:C,3,0)</f>
        <v>Lipid and atheroscle</v>
      </c>
      <c r="C117" t="str">
        <f t="shared" si="1"/>
        <v>NFKB1-&gt;IL18</v>
      </c>
      <c r="D117" t="s">
        <v>272</v>
      </c>
      <c r="E117" t="s">
        <v>375</v>
      </c>
      <c r="F117" s="27">
        <v>-0.44911782300000003</v>
      </c>
      <c r="G117" s="27">
        <v>0.44911782300000003</v>
      </c>
      <c r="H117" s="27">
        <v>1.2734214000000001E-2</v>
      </c>
      <c r="I117" s="27">
        <v>0.22281664500000001</v>
      </c>
    </row>
    <row r="118" spans="1:17">
      <c r="A118" t="s">
        <v>156</v>
      </c>
      <c r="B118" t="str">
        <f>VLOOKUP(A118,PW!A:C,3,0)</f>
        <v>Sphingolipid metabol</v>
      </c>
      <c r="C118" t="str">
        <f t="shared" si="1"/>
        <v>KDSR-&gt;ACER3</v>
      </c>
      <c r="D118" t="s">
        <v>376</v>
      </c>
      <c r="E118" t="s">
        <v>377</v>
      </c>
      <c r="F118" s="27">
        <v>0.44312262800000002</v>
      </c>
      <c r="G118" s="27">
        <v>0.44312262800000002</v>
      </c>
      <c r="H118" s="27">
        <v>2.5999999999999998E-5</v>
      </c>
      <c r="I118" s="27">
        <v>1.7647493E-2</v>
      </c>
    </row>
    <row r="119" spans="1:17">
      <c r="A119" t="s">
        <v>167</v>
      </c>
      <c r="B119" t="str">
        <f>VLOOKUP(A119,PW!A:C,3,0)</f>
        <v>mTOR signaling pathw</v>
      </c>
      <c r="C119" t="str">
        <f t="shared" si="1"/>
        <v>CEBPB-&gt;PPARG</v>
      </c>
      <c r="D119" t="s">
        <v>366</v>
      </c>
      <c r="E119" t="s">
        <v>378</v>
      </c>
      <c r="F119" s="27">
        <v>-0.43974439500000001</v>
      </c>
      <c r="G119" s="27">
        <v>0.43974439500000001</v>
      </c>
      <c r="H119" s="27">
        <v>1.1491819E-2</v>
      </c>
      <c r="I119" s="27">
        <v>0.216816749</v>
      </c>
    </row>
    <row r="120" spans="1:17">
      <c r="A120" t="s">
        <v>155</v>
      </c>
      <c r="B120" t="str">
        <f>VLOOKUP(A120,PW!A:C,3,0)</f>
        <v>Kaposi sarcoma‑assoc</v>
      </c>
      <c r="C120" t="str">
        <f t="shared" si="1"/>
        <v>NFATC1-&gt;CXCL1</v>
      </c>
      <c r="D120" t="s">
        <v>274</v>
      </c>
      <c r="E120" t="s">
        <v>327</v>
      </c>
      <c r="F120" s="27">
        <v>0.43765484100000002</v>
      </c>
      <c r="G120" s="27">
        <v>0.43765484100000002</v>
      </c>
      <c r="H120" s="27">
        <v>2.1870499999999998E-3</v>
      </c>
      <c r="I120" s="27">
        <v>0.10805922900000001</v>
      </c>
    </row>
    <row r="121" spans="1:17">
      <c r="A121" t="s">
        <v>157</v>
      </c>
      <c r="B121" t="str">
        <f>VLOOKUP(A121,PW!A:C,3,0)</f>
        <v>Oxytocin signaling p</v>
      </c>
      <c r="C121" t="str">
        <f t="shared" si="1"/>
        <v>NFATC1-&gt;RGS2</v>
      </c>
      <c r="D121" t="s">
        <v>274</v>
      </c>
      <c r="E121" t="s">
        <v>379</v>
      </c>
      <c r="F121" s="27">
        <v>0.43328272299999998</v>
      </c>
      <c r="G121" s="27">
        <v>0.43328272299999998</v>
      </c>
      <c r="H121" s="27">
        <v>1.5769320000000001E-3</v>
      </c>
      <c r="I121" s="27">
        <v>8.8743188000000001E-2</v>
      </c>
    </row>
    <row r="122" spans="1:17">
      <c r="A122" t="s">
        <v>101</v>
      </c>
      <c r="B122" t="str">
        <f>VLOOKUP(A122,PW!A:C,3,0)</f>
        <v>Purine metabolism</v>
      </c>
      <c r="C122" t="str">
        <f t="shared" si="1"/>
        <v>ADK-&gt;ADA</v>
      </c>
      <c r="D122" t="s">
        <v>380</v>
      </c>
      <c r="E122" t="s">
        <v>381</v>
      </c>
      <c r="F122" s="27">
        <v>-0.42848903399999999</v>
      </c>
      <c r="G122" s="27">
        <v>0.42848903399999999</v>
      </c>
      <c r="H122" s="27">
        <v>4.1359400000000003E-3</v>
      </c>
      <c r="I122" s="27">
        <v>0.13665022499999999</v>
      </c>
      <c r="Q122" s="12"/>
    </row>
    <row r="123" spans="1:17">
      <c r="A123" t="s">
        <v>121</v>
      </c>
      <c r="B123" t="str">
        <f>VLOOKUP(A123,PW!A:C,3,0)</f>
        <v>β-Alanine metabolism</v>
      </c>
      <c r="C123" t="str">
        <f t="shared" si="1"/>
        <v>CNDP2-&gt;ALDH2</v>
      </c>
      <c r="D123" t="s">
        <v>382</v>
      </c>
      <c r="E123" t="s">
        <v>299</v>
      </c>
      <c r="F123" s="27">
        <v>0.42839441499999997</v>
      </c>
      <c r="G123" s="27">
        <v>0.42839441499999997</v>
      </c>
      <c r="H123" s="27">
        <v>1.2101145000000001E-2</v>
      </c>
      <c r="I123" s="27">
        <v>0.22281664500000001</v>
      </c>
    </row>
    <row r="124" spans="1:17">
      <c r="A124" t="s">
        <v>145</v>
      </c>
      <c r="B124" t="str">
        <f>VLOOKUP(A124,PW!A:C,3,0)</f>
        <v>cGMP–PKG signaling p</v>
      </c>
      <c r="C124" t="str">
        <f t="shared" si="1"/>
        <v>NFATC1-&gt;TRPC6</v>
      </c>
      <c r="D124" t="s">
        <v>274</v>
      </c>
      <c r="E124" t="s">
        <v>383</v>
      </c>
      <c r="F124" s="27">
        <v>0.427750729</v>
      </c>
      <c r="G124" s="27">
        <v>0.427750729</v>
      </c>
      <c r="H124" s="27">
        <v>2.0633275E-2</v>
      </c>
      <c r="I124" s="27">
        <v>0.25818887899999998</v>
      </c>
    </row>
    <row r="125" spans="1:17">
      <c r="A125" t="s">
        <v>143</v>
      </c>
      <c r="B125" t="str">
        <f>VLOOKUP(A125,PW!A:C,3,0)</f>
        <v>Th1 and Th2 cell dif</v>
      </c>
      <c r="C125" t="str">
        <f t="shared" si="1"/>
        <v>STAT4-&gt;IFNG</v>
      </c>
      <c r="D125" t="s">
        <v>384</v>
      </c>
      <c r="E125" t="s">
        <v>374</v>
      </c>
      <c r="F125" s="27">
        <v>0.426087616</v>
      </c>
      <c r="G125" s="27">
        <v>0.426087616</v>
      </c>
      <c r="H125" s="27">
        <v>3.564191E-3</v>
      </c>
      <c r="I125" s="27">
        <v>0.13219909699999999</v>
      </c>
    </row>
    <row r="126" spans="1:17">
      <c r="A126" t="s">
        <v>95</v>
      </c>
      <c r="B126" t="str">
        <f>VLOOKUP(A126,PW!A:C,3,0)</f>
        <v>Fructose &amp; mannose</v>
      </c>
      <c r="C126" t="str">
        <f t="shared" si="1"/>
        <v>TPI1-&gt;TKFC</v>
      </c>
      <c r="D126" t="s">
        <v>385</v>
      </c>
      <c r="E126" t="s">
        <v>386</v>
      </c>
      <c r="F126" s="27">
        <v>0.422031832</v>
      </c>
      <c r="G126" s="27">
        <v>0.422031832</v>
      </c>
      <c r="H126" s="27">
        <v>4.043736E-3</v>
      </c>
      <c r="I126" s="27">
        <v>0.13665022499999999</v>
      </c>
      <c r="Q126" s="14"/>
    </row>
    <row r="127" spans="1:17">
      <c r="A127" t="s">
        <v>146</v>
      </c>
      <c r="B127" t="str">
        <f>VLOOKUP(A127,PW!A:C,3,0)</f>
        <v>Glycerolipid metabol</v>
      </c>
      <c r="C127" t="str">
        <f t="shared" si="1"/>
        <v>AKR1B1-&gt;ALDH2</v>
      </c>
      <c r="D127" t="s">
        <v>387</v>
      </c>
      <c r="E127" t="s">
        <v>299</v>
      </c>
      <c r="F127" s="27">
        <v>0.41904177199999998</v>
      </c>
      <c r="G127" s="27">
        <v>0.41904177199999998</v>
      </c>
      <c r="H127" s="27">
        <v>2.0183499999999999E-3</v>
      </c>
      <c r="I127" s="27">
        <v>0.104569735</v>
      </c>
    </row>
    <row r="128" spans="1:17">
      <c r="A128" t="s">
        <v>127</v>
      </c>
      <c r="B128" t="str">
        <f>VLOOKUP(A128,PW!A:C,3,0)</f>
        <v>Nicotinate and nicot</v>
      </c>
      <c r="C128" t="str">
        <f t="shared" si="1"/>
        <v>QPRT-&gt;NMNAT2</v>
      </c>
      <c r="D128" t="s">
        <v>388</v>
      </c>
      <c r="E128" t="s">
        <v>257</v>
      </c>
      <c r="F128" s="27">
        <v>0.41446086199999999</v>
      </c>
      <c r="G128" s="27">
        <v>0.41446086199999999</v>
      </c>
      <c r="H128" s="27">
        <v>1.2476087E-2</v>
      </c>
      <c r="I128" s="27">
        <v>0.22281664500000001</v>
      </c>
    </row>
    <row r="129" spans="1:17">
      <c r="A129" t="s">
        <v>102</v>
      </c>
      <c r="B129" t="str">
        <f>VLOOKUP(A129,PW!A:C,3,0)</f>
        <v>Pyrimidine metabolism</v>
      </c>
      <c r="C129" t="str">
        <f t="shared" si="1"/>
        <v>UCKL1-&gt;CDA</v>
      </c>
      <c r="D129" t="s">
        <v>389</v>
      </c>
      <c r="E129" t="s">
        <v>390</v>
      </c>
      <c r="F129" s="27">
        <v>0.41347419099999999</v>
      </c>
      <c r="G129" s="27">
        <v>0.41347419099999999</v>
      </c>
      <c r="H129" s="27">
        <v>1.147244E-3</v>
      </c>
      <c r="I129" s="27">
        <v>7.1189126000000005E-2</v>
      </c>
      <c r="Q129" s="13"/>
    </row>
    <row r="130" spans="1:17">
      <c r="A130" t="s">
        <v>102</v>
      </c>
      <c r="B130" t="str">
        <f>VLOOKUP(A130,PW!A:C,3,0)</f>
        <v>Pyrimidine metabolism</v>
      </c>
      <c r="C130" t="str">
        <f t="shared" ref="C130:C193" si="2">D130&amp;"-&gt;"&amp;E130</f>
        <v>NME6-&gt;CTPS1</v>
      </c>
      <c r="D130" t="s">
        <v>285</v>
      </c>
      <c r="E130" t="s">
        <v>391</v>
      </c>
      <c r="F130" s="27">
        <v>0.41327224600000001</v>
      </c>
      <c r="G130" s="27">
        <v>0.41327224600000001</v>
      </c>
      <c r="H130" s="27">
        <v>2.8006174000000002E-2</v>
      </c>
      <c r="I130" s="27">
        <v>0.29116463300000001</v>
      </c>
      <c r="Q130" s="13"/>
    </row>
    <row r="131" spans="1:17">
      <c r="A131" t="s">
        <v>109</v>
      </c>
      <c r="B131" t="str">
        <f>VLOOKUP(A131,PW!A:C,3,0)</f>
        <v>Valine, leucine</v>
      </c>
      <c r="C131" t="str">
        <f t="shared" si="2"/>
        <v>ACAD8-&gt;ECHS1</v>
      </c>
      <c r="D131" t="s">
        <v>392</v>
      </c>
      <c r="E131" t="s">
        <v>393</v>
      </c>
      <c r="F131" s="27">
        <v>0.40780064300000002</v>
      </c>
      <c r="G131" s="27">
        <v>0.40780064300000002</v>
      </c>
      <c r="H131" s="27">
        <v>1.6442157999999998E-2</v>
      </c>
      <c r="I131" s="27">
        <v>0.24174416200000001</v>
      </c>
    </row>
    <row r="132" spans="1:17">
      <c r="A132" t="s">
        <v>97</v>
      </c>
      <c r="B132" t="str">
        <f>VLOOKUP(A132,PW!A:C,3,0)</f>
        <v>Fatty acid biosynthesis</v>
      </c>
      <c r="C132" t="str">
        <f t="shared" si="2"/>
        <v>OXSM-&gt;HSD17B8</v>
      </c>
      <c r="D132" t="s">
        <v>394</v>
      </c>
      <c r="E132" t="s">
        <v>395</v>
      </c>
      <c r="F132" s="27">
        <v>-0.40713909399999998</v>
      </c>
      <c r="G132" s="27">
        <v>0.40713909399999998</v>
      </c>
      <c r="H132" s="27">
        <v>1.0596431E-2</v>
      </c>
      <c r="I132" s="27">
        <v>0.208057667</v>
      </c>
      <c r="Q132" s="14"/>
    </row>
    <row r="133" spans="1:17">
      <c r="A133" t="s">
        <v>94</v>
      </c>
      <c r="B133" t="str">
        <f>VLOOKUP(A133,PW!A:C,3,0)</f>
        <v>Pentose phosphate</v>
      </c>
      <c r="C133" t="str">
        <f t="shared" si="2"/>
        <v>PGLS-&gt;PGD</v>
      </c>
      <c r="D133" t="s">
        <v>396</v>
      </c>
      <c r="E133" t="s">
        <v>397</v>
      </c>
      <c r="F133" s="27">
        <v>-0.402901703</v>
      </c>
      <c r="G133" s="27">
        <v>0.402901703</v>
      </c>
      <c r="H133" s="27">
        <v>3.7605629000000002E-2</v>
      </c>
      <c r="I133" s="27">
        <v>0.32216475900000002</v>
      </c>
    </row>
    <row r="134" spans="1:17">
      <c r="A134" t="s">
        <v>183</v>
      </c>
      <c r="B134" t="str">
        <f>VLOOKUP(A134,PW!A:C,3,0)</f>
        <v>Drug metabolism</v>
      </c>
      <c r="C134" t="str">
        <f t="shared" si="2"/>
        <v>HPRT1-&gt;IMPDH1</v>
      </c>
      <c r="D134" t="s">
        <v>398</v>
      </c>
      <c r="E134" t="s">
        <v>399</v>
      </c>
      <c r="F134" s="27">
        <v>-0.39979249</v>
      </c>
      <c r="G134" s="27">
        <v>0.39979249</v>
      </c>
      <c r="H134" s="27">
        <v>3.5040687000000001E-2</v>
      </c>
      <c r="I134" s="27">
        <v>0.31249399300000003</v>
      </c>
    </row>
    <row r="135" spans="1:17">
      <c r="A135" t="s">
        <v>150</v>
      </c>
      <c r="B135" t="str">
        <f>VLOOKUP(A135,PW!A:C,3,0)</f>
        <v>Melanogenesis KEGG</v>
      </c>
      <c r="C135" t="str">
        <f t="shared" si="2"/>
        <v>MITF-&gt;DCT</v>
      </c>
      <c r="D135" t="s">
        <v>400</v>
      </c>
      <c r="E135" t="s">
        <v>401</v>
      </c>
      <c r="F135" s="27">
        <v>-0.39374381600000002</v>
      </c>
      <c r="G135" s="27">
        <v>0.39374381600000002</v>
      </c>
      <c r="H135" s="27">
        <v>4.9539550000000002E-2</v>
      </c>
      <c r="I135" s="27">
        <v>0.35486563799999998</v>
      </c>
    </row>
    <row r="136" spans="1:17">
      <c r="A136" t="s">
        <v>143</v>
      </c>
      <c r="B136" t="str">
        <f>VLOOKUP(A136,PW!A:C,3,0)</f>
        <v>Th1 and Th2 cell dif</v>
      </c>
      <c r="C136" t="str">
        <f t="shared" si="2"/>
        <v>JUN-&gt;TBX21</v>
      </c>
      <c r="D136" t="s">
        <v>367</v>
      </c>
      <c r="E136" t="s">
        <v>402</v>
      </c>
      <c r="F136" s="27">
        <v>0.39370424599999998</v>
      </c>
      <c r="G136" s="27">
        <v>0.39370424599999998</v>
      </c>
      <c r="H136" s="27">
        <v>7.5793290000000001E-3</v>
      </c>
      <c r="I136" s="27">
        <v>0.175246966</v>
      </c>
    </row>
    <row r="137" spans="1:17">
      <c r="A137" t="s">
        <v>152</v>
      </c>
      <c r="B137" t="str">
        <f>VLOOKUP(A137,PW!A:C,3,0)</f>
        <v>cAMP signaling pathw</v>
      </c>
      <c r="C137" t="str">
        <f t="shared" si="2"/>
        <v>CREB3-&gt;JUN</v>
      </c>
      <c r="D137" t="s">
        <v>264</v>
      </c>
      <c r="E137" t="s">
        <v>367</v>
      </c>
      <c r="F137" s="27">
        <v>0.39227860199999998</v>
      </c>
      <c r="G137" s="27">
        <v>0.39227860199999998</v>
      </c>
      <c r="H137" s="27">
        <v>2.3345438999999999E-2</v>
      </c>
      <c r="I137" s="27">
        <v>0.27767641399999998</v>
      </c>
    </row>
    <row r="138" spans="1:17">
      <c r="A138" t="s">
        <v>172</v>
      </c>
      <c r="B138" t="str">
        <f>VLOOKUP(A138,PW!A:C,3,0)</f>
        <v>Vitamin B6 metabolis</v>
      </c>
      <c r="C138" t="str">
        <f t="shared" si="2"/>
        <v>PNPO-&gt;PHOSPHO2</v>
      </c>
      <c r="D138" t="s">
        <v>403</v>
      </c>
      <c r="E138" t="s">
        <v>404</v>
      </c>
      <c r="F138" s="27">
        <v>-0.385785502</v>
      </c>
      <c r="G138" s="27">
        <v>0.385785502</v>
      </c>
      <c r="H138" s="27">
        <v>1.3210171999999999E-2</v>
      </c>
      <c r="I138" s="27">
        <v>0.22329868</v>
      </c>
    </row>
    <row r="139" spans="1:17">
      <c r="A139" t="s">
        <v>126</v>
      </c>
      <c r="B139" t="str">
        <f>VLOOKUP(A139,PW!A:C,3,0)</f>
        <v>Glutathione metabolism</v>
      </c>
      <c r="C139" t="str">
        <f t="shared" si="2"/>
        <v>LANCL1-&gt;GPX4</v>
      </c>
      <c r="D139" t="s">
        <v>405</v>
      </c>
      <c r="E139" t="s">
        <v>365</v>
      </c>
      <c r="F139" s="27">
        <v>-0.37430149699999998</v>
      </c>
      <c r="G139" s="27">
        <v>0.37430149699999998</v>
      </c>
      <c r="H139" s="27">
        <v>9.3328439999999999E-3</v>
      </c>
      <c r="I139" s="27">
        <v>0.19850409899999999</v>
      </c>
    </row>
    <row r="140" spans="1:17">
      <c r="A140" t="s">
        <v>178</v>
      </c>
      <c r="B140" t="str">
        <f>VLOOKUP(A140,PW!A:C,3,0)</f>
        <v>Terpenoid backbone b</v>
      </c>
      <c r="C140" t="str">
        <f t="shared" si="2"/>
        <v>CHURC1-FNTB-&gt;PDSS1</v>
      </c>
      <c r="D140" t="s">
        <v>406</v>
      </c>
      <c r="E140" t="s">
        <v>407</v>
      </c>
      <c r="F140" s="27">
        <v>-0.371561637</v>
      </c>
      <c r="G140" s="27">
        <v>0.371561637</v>
      </c>
      <c r="H140" s="27">
        <v>4.6733381999999997E-2</v>
      </c>
      <c r="I140" s="27">
        <v>0.349255388</v>
      </c>
    </row>
    <row r="141" spans="1:17">
      <c r="A141" t="s">
        <v>148</v>
      </c>
      <c r="B141" t="str">
        <f>VLOOKUP(A141,PW!A:C,3,0)</f>
        <v>Inositol phosphate m</v>
      </c>
      <c r="C141" t="str">
        <f t="shared" si="2"/>
        <v>IMPA1-&gt;CDIPT</v>
      </c>
      <c r="D141" t="s">
        <v>408</v>
      </c>
      <c r="E141" t="s">
        <v>409</v>
      </c>
      <c r="F141" s="27">
        <v>-0.36625834499999999</v>
      </c>
      <c r="G141" s="27">
        <v>0.36625834499999999</v>
      </c>
      <c r="H141" s="27">
        <v>4.1698913999999997E-2</v>
      </c>
      <c r="I141" s="27">
        <v>0.33523462199999998</v>
      </c>
    </row>
    <row r="142" spans="1:17">
      <c r="A142" t="s">
        <v>136</v>
      </c>
      <c r="B142" t="str">
        <f>VLOOKUP(A142,PW!A:C,3,0)</f>
        <v>Mannose‑type O‑glycan</v>
      </c>
      <c r="C142" t="str">
        <f t="shared" si="2"/>
        <v>B4GAT1-&gt;LARGE2</v>
      </c>
      <c r="D142" t="s">
        <v>410</v>
      </c>
      <c r="E142" t="s">
        <v>411</v>
      </c>
      <c r="F142" s="27">
        <v>-0.36500176499999998</v>
      </c>
      <c r="G142" s="27">
        <v>0.36500176499999998</v>
      </c>
      <c r="H142" s="27">
        <v>1.5088254000000001E-2</v>
      </c>
      <c r="I142" s="27">
        <v>0.23038882099999999</v>
      </c>
    </row>
    <row r="143" spans="1:17">
      <c r="A143" t="s">
        <v>166</v>
      </c>
      <c r="B143" t="str">
        <f>VLOOKUP(A143,PW!A:C,3,0)</f>
        <v>Propanoate metabolis</v>
      </c>
      <c r="C143" t="str">
        <f t="shared" si="2"/>
        <v>ALDH6A1-&gt;PCCA</v>
      </c>
      <c r="D143" t="s">
        <v>412</v>
      </c>
      <c r="E143" t="s">
        <v>413</v>
      </c>
      <c r="F143" s="27">
        <v>-0.36387256400000001</v>
      </c>
      <c r="G143" s="27">
        <v>0.36387256400000001</v>
      </c>
      <c r="H143" s="27">
        <v>7.0476399999999998E-4</v>
      </c>
      <c r="I143" s="27">
        <v>5.4778607999999999E-2</v>
      </c>
    </row>
    <row r="144" spans="1:17">
      <c r="A144" t="s">
        <v>111</v>
      </c>
      <c r="B144" t="str">
        <f>VLOOKUP(A144,PW!A:C,3,0)</f>
        <v>Lysine degradation</v>
      </c>
      <c r="C144" t="str">
        <f t="shared" si="2"/>
        <v>EHMT2-&gt;PLOD1</v>
      </c>
      <c r="D144" t="s">
        <v>414</v>
      </c>
      <c r="E144" t="s">
        <v>415</v>
      </c>
      <c r="F144" s="27">
        <v>0.36141853899999998</v>
      </c>
      <c r="G144" s="27">
        <v>0.36141853899999998</v>
      </c>
      <c r="H144" s="27">
        <v>5.0848200000000003E-3</v>
      </c>
      <c r="I144" s="27">
        <v>0.15367456800000001</v>
      </c>
    </row>
    <row r="145" spans="1:9">
      <c r="A145" t="s">
        <v>130</v>
      </c>
      <c r="B145" t="str">
        <f>VLOOKUP(A145,PW!A:C,3,0)</f>
        <v>N‑Glycan biosynthesis</v>
      </c>
      <c r="C145" t="str">
        <f t="shared" si="2"/>
        <v>DOLPP1-&gt;ALG5</v>
      </c>
      <c r="D145" t="s">
        <v>416</v>
      </c>
      <c r="E145" t="s">
        <v>281</v>
      </c>
      <c r="F145" s="27">
        <v>-0.35525047599999998</v>
      </c>
      <c r="G145" s="27">
        <v>0.35525047599999998</v>
      </c>
      <c r="H145" s="27">
        <v>3.8500000000000001E-5</v>
      </c>
      <c r="I145" s="27">
        <v>1.7647493E-2</v>
      </c>
    </row>
    <row r="146" spans="1:9">
      <c r="A146" t="s">
        <v>126</v>
      </c>
      <c r="B146" t="str">
        <f>VLOOKUP(A146,PW!A:C,3,0)</f>
        <v>Glutathione metabolism</v>
      </c>
      <c r="C146" t="str">
        <f t="shared" si="2"/>
        <v>GSS-&gt;LANCL1</v>
      </c>
      <c r="D146" t="s">
        <v>417</v>
      </c>
      <c r="E146" t="s">
        <v>405</v>
      </c>
      <c r="F146" s="27">
        <v>-0.354485997</v>
      </c>
      <c r="G146" s="27">
        <v>0.354485997</v>
      </c>
      <c r="H146" s="27">
        <v>1.853501E-3</v>
      </c>
      <c r="I146" s="27">
        <v>9.9177479999999998E-2</v>
      </c>
    </row>
    <row r="147" spans="1:9">
      <c r="A147" t="s">
        <v>142</v>
      </c>
      <c r="B147" t="str">
        <f>VLOOKUP(A147,PW!A:C,3,0)</f>
        <v>Glycosaminoglycan biosynthesis</v>
      </c>
      <c r="C147" t="str">
        <f t="shared" si="2"/>
        <v>EXTL2-&gt;EXT1</v>
      </c>
      <c r="D147" t="s">
        <v>418</v>
      </c>
      <c r="E147" t="s">
        <v>419</v>
      </c>
      <c r="F147" s="27">
        <v>0.35414710300000002</v>
      </c>
      <c r="G147" s="27">
        <v>0.35414710300000002</v>
      </c>
      <c r="H147" s="27">
        <v>4.7565299999999998E-4</v>
      </c>
      <c r="I147" s="27">
        <v>4.5118211999999998E-2</v>
      </c>
    </row>
    <row r="148" spans="1:9">
      <c r="A148" t="s">
        <v>144</v>
      </c>
      <c r="B148" t="str">
        <f>VLOOKUP(A148,PW!A:C,3,0)</f>
        <v>Biosynthesis of vari</v>
      </c>
      <c r="C148" t="str">
        <f t="shared" si="2"/>
        <v>NANS-&gt;NPL</v>
      </c>
      <c r="D148" t="s">
        <v>420</v>
      </c>
      <c r="E148" t="s">
        <v>421</v>
      </c>
      <c r="F148" s="27">
        <v>-0.35342724199999997</v>
      </c>
      <c r="G148" s="27">
        <v>0.35342724199999997</v>
      </c>
      <c r="H148" s="27">
        <v>1.2265534999999999E-2</v>
      </c>
      <c r="I148" s="27">
        <v>0.22281664500000001</v>
      </c>
    </row>
    <row r="149" spans="1:9">
      <c r="A149" t="s">
        <v>130</v>
      </c>
      <c r="B149" t="str">
        <f>VLOOKUP(A149,PW!A:C,3,0)</f>
        <v>N‑Glycan biosynthesis</v>
      </c>
      <c r="C149" t="str">
        <f t="shared" si="2"/>
        <v>FUT8-&gt;B4GALT1</v>
      </c>
      <c r="D149" t="s">
        <v>422</v>
      </c>
      <c r="E149" t="s">
        <v>278</v>
      </c>
      <c r="F149" s="27">
        <v>0.34963634399999999</v>
      </c>
      <c r="G149" s="27">
        <v>0.34963634399999999</v>
      </c>
      <c r="H149" s="27">
        <v>4.05793E-4</v>
      </c>
      <c r="I149" s="27">
        <v>4.2726105E-2</v>
      </c>
    </row>
    <row r="150" spans="1:9">
      <c r="A150" t="s">
        <v>134</v>
      </c>
      <c r="B150" t="str">
        <f>VLOOKUP(A150,PW!A:C,3,0)</f>
        <v>Various types of N‑glycan</v>
      </c>
      <c r="C150" t="str">
        <f t="shared" si="2"/>
        <v>FUT8-&gt;B4GALT1</v>
      </c>
      <c r="D150" t="s">
        <v>422</v>
      </c>
      <c r="E150" t="s">
        <v>278</v>
      </c>
      <c r="F150" s="27">
        <v>0.34963634399999999</v>
      </c>
      <c r="G150" s="27">
        <v>0.34963634399999999</v>
      </c>
      <c r="H150" s="27">
        <v>4.05793E-4</v>
      </c>
      <c r="I150" s="27">
        <v>4.2726105E-2</v>
      </c>
    </row>
    <row r="151" spans="1:9">
      <c r="A151" t="s">
        <v>170</v>
      </c>
      <c r="B151" t="str">
        <f>VLOOKUP(A151,PW!A:C,3,0)</f>
        <v>One carbon pool by f</v>
      </c>
      <c r="C151" t="str">
        <f t="shared" si="2"/>
        <v>MTHFD1-&gt;MTHFD2</v>
      </c>
      <c r="D151" t="s">
        <v>423</v>
      </c>
      <c r="E151" t="s">
        <v>424</v>
      </c>
      <c r="F151" s="27">
        <v>0.348295242</v>
      </c>
      <c r="G151" s="27">
        <v>0.348295242</v>
      </c>
      <c r="H151" s="27">
        <v>8.6879700000000004E-4</v>
      </c>
      <c r="I151" s="27">
        <v>6.0923375000000002E-2</v>
      </c>
    </row>
    <row r="152" spans="1:9">
      <c r="A152" t="s">
        <v>157</v>
      </c>
      <c r="B152" t="str">
        <f>VLOOKUP(A152,PW!A:C,3,0)</f>
        <v>Oxytocin signaling p</v>
      </c>
      <c r="C152" t="str">
        <f t="shared" si="2"/>
        <v>MAPK1-&gt;JUN</v>
      </c>
      <c r="D152" t="s">
        <v>337</v>
      </c>
      <c r="E152" t="s">
        <v>367</v>
      </c>
      <c r="F152" s="27">
        <v>-0.34780665399999999</v>
      </c>
      <c r="G152" s="27">
        <v>0.34780665399999999</v>
      </c>
      <c r="H152" s="27">
        <v>3.7835776000000002E-2</v>
      </c>
      <c r="I152" s="27">
        <v>0.32246170299999999</v>
      </c>
    </row>
    <row r="153" spans="1:9">
      <c r="A153" t="s">
        <v>164</v>
      </c>
      <c r="B153" t="str">
        <f>VLOOKUP(A153,PW!A:C,3,0)</f>
        <v xml:space="preserve">Pyruvate metabolism </v>
      </c>
      <c r="C153" t="str">
        <f t="shared" si="2"/>
        <v>ACACA-&gt;DLAT</v>
      </c>
      <c r="D153" t="s">
        <v>425</v>
      </c>
      <c r="E153" t="s">
        <v>426</v>
      </c>
      <c r="F153" s="27">
        <v>-0.34528687200000002</v>
      </c>
      <c r="G153" s="27">
        <v>0.34528687200000002</v>
      </c>
      <c r="H153" s="27">
        <v>2.1556750000000001E-3</v>
      </c>
      <c r="I153" s="27">
        <v>0.10805922900000001</v>
      </c>
    </row>
    <row r="154" spans="1:9">
      <c r="A154" t="s">
        <v>169</v>
      </c>
      <c r="B154" t="str">
        <f>VLOOKUP(A154,PW!A:C,3,0)</f>
        <v>Pathways in cancer</v>
      </c>
      <c r="C154" t="str">
        <f t="shared" si="2"/>
        <v>NFE2L2-&gt;HMOX1</v>
      </c>
      <c r="D154" t="s">
        <v>427</v>
      </c>
      <c r="E154" t="s">
        <v>311</v>
      </c>
      <c r="F154" s="27">
        <v>-0.34519925000000001</v>
      </c>
      <c r="G154" s="27">
        <v>0.34519925000000001</v>
      </c>
      <c r="H154" s="27">
        <v>3.2696269E-2</v>
      </c>
      <c r="I154" s="27">
        <v>0.30674497099999998</v>
      </c>
    </row>
    <row r="155" spans="1:9">
      <c r="A155" t="s">
        <v>176</v>
      </c>
      <c r="B155" t="str">
        <f>VLOOKUP(A155,PW!A:C,3,0)</f>
        <v>Colorectal cancer</v>
      </c>
      <c r="C155" t="str">
        <f t="shared" si="2"/>
        <v>NFE2L2-&gt;HMOX1</v>
      </c>
      <c r="D155" t="s">
        <v>427</v>
      </c>
      <c r="E155" t="s">
        <v>311</v>
      </c>
      <c r="F155" s="27">
        <v>-0.34519925000000001</v>
      </c>
      <c r="G155" s="27">
        <v>0.34519925000000001</v>
      </c>
      <c r="H155" s="27">
        <v>3.2696269E-2</v>
      </c>
      <c r="I155" s="27">
        <v>0.30674497099999998</v>
      </c>
    </row>
    <row r="156" spans="1:9">
      <c r="A156" t="s">
        <v>195</v>
      </c>
      <c r="B156" t="str">
        <f>VLOOKUP(A156,PW!A:C,3,0)</f>
        <v>Hepatocellular carci</v>
      </c>
      <c r="C156" t="str">
        <f t="shared" si="2"/>
        <v>NFE2L2-&gt;HMOX1</v>
      </c>
      <c r="D156" t="s">
        <v>427</v>
      </c>
      <c r="E156" t="s">
        <v>311</v>
      </c>
      <c r="F156" s="27">
        <v>-0.34519925000000001</v>
      </c>
      <c r="G156" s="27">
        <v>0.34519925000000001</v>
      </c>
      <c r="H156" s="27">
        <v>3.2696269E-2</v>
      </c>
      <c r="I156" s="27">
        <v>0.30674497099999998</v>
      </c>
    </row>
    <row r="157" spans="1:9">
      <c r="A157" t="s">
        <v>41</v>
      </c>
      <c r="B157" t="str">
        <f>VLOOKUP(A157,PW!A:C,3,0)</f>
        <v>Fluid shear stress a</v>
      </c>
      <c r="C157" t="str">
        <f t="shared" si="2"/>
        <v>NFE2L2-&gt;HMOX1</v>
      </c>
      <c r="D157" t="s">
        <v>427</v>
      </c>
      <c r="E157" t="s">
        <v>311</v>
      </c>
      <c r="F157" s="27">
        <v>-0.34519925000000001</v>
      </c>
      <c r="G157" s="27">
        <v>0.34519925000000001</v>
      </c>
      <c r="H157" s="27">
        <v>3.2696269E-2</v>
      </c>
      <c r="I157" s="27">
        <v>0.30674497099999998</v>
      </c>
    </row>
    <row r="158" spans="1:9">
      <c r="A158" t="s">
        <v>143</v>
      </c>
      <c r="B158" t="str">
        <f>VLOOKUP(A158,PW!A:C,3,0)</f>
        <v>Th1 and Th2 cell dif</v>
      </c>
      <c r="C158" t="str">
        <f t="shared" si="2"/>
        <v>NFKB1-&gt;IL12RB1</v>
      </c>
      <c r="D158" t="s">
        <v>272</v>
      </c>
      <c r="E158" t="s">
        <v>428</v>
      </c>
      <c r="F158" s="27">
        <v>0.34324946699999997</v>
      </c>
      <c r="G158" s="27">
        <v>0.34324946699999997</v>
      </c>
      <c r="H158" s="27">
        <v>2.3170339000000002E-2</v>
      </c>
      <c r="I158" s="27">
        <v>0.27767641399999998</v>
      </c>
    </row>
    <row r="159" spans="1:9">
      <c r="A159" t="s">
        <v>109</v>
      </c>
      <c r="B159" t="str">
        <f>VLOOKUP(A159,PW!A:C,3,0)</f>
        <v>Valine, leucine</v>
      </c>
      <c r="C159" t="str">
        <f t="shared" si="2"/>
        <v>MCCC1-&gt;ECHS1</v>
      </c>
      <c r="D159" t="s">
        <v>429</v>
      </c>
      <c r="E159" t="s">
        <v>393</v>
      </c>
      <c r="F159" s="27">
        <v>-0.342843179</v>
      </c>
      <c r="G159" s="27">
        <v>0.342843179</v>
      </c>
      <c r="H159" s="27">
        <v>1.6036680000000001E-2</v>
      </c>
      <c r="I159" s="27">
        <v>0.24010305500000001</v>
      </c>
    </row>
    <row r="160" spans="1:9">
      <c r="A160" t="s">
        <v>143</v>
      </c>
      <c r="B160" t="str">
        <f>VLOOKUP(A160,PW!A:C,3,0)</f>
        <v>Th1 and Th2 cell dif</v>
      </c>
      <c r="C160" t="str">
        <f t="shared" si="2"/>
        <v>STAT6-&gt;IL4R</v>
      </c>
      <c r="D160" t="s">
        <v>336</v>
      </c>
      <c r="E160" t="s">
        <v>430</v>
      </c>
      <c r="F160" s="27">
        <v>-0.34261819700000001</v>
      </c>
      <c r="G160" s="27">
        <v>0.34261819700000001</v>
      </c>
      <c r="H160" s="27">
        <v>3.5829952999999998E-2</v>
      </c>
      <c r="I160" s="27">
        <v>0.31353610399999998</v>
      </c>
    </row>
    <row r="161" spans="1:17">
      <c r="A161" t="s">
        <v>133</v>
      </c>
      <c r="B161" t="str">
        <f>VLOOKUP(A161,PW!A:C,3,0)</f>
        <v>Diabetic cardiomyopa</v>
      </c>
      <c r="C161" t="str">
        <f t="shared" si="2"/>
        <v>NFKB1-&gt;TGFB1</v>
      </c>
      <c r="D161" t="s">
        <v>272</v>
      </c>
      <c r="E161" t="s">
        <v>431</v>
      </c>
      <c r="F161" s="27">
        <v>0.34105361499999998</v>
      </c>
      <c r="G161" s="27">
        <v>0.34105361499999998</v>
      </c>
      <c r="H161" s="27">
        <v>2.7839157E-2</v>
      </c>
      <c r="I161" s="27">
        <v>0.29116463300000001</v>
      </c>
    </row>
    <row r="162" spans="1:17">
      <c r="A162" t="s">
        <v>102</v>
      </c>
      <c r="B162" t="str">
        <f>VLOOKUP(A162,PW!A:C,3,0)</f>
        <v>Pyrimidine metabolism</v>
      </c>
      <c r="C162" t="str">
        <f t="shared" si="2"/>
        <v>CANT1-&gt;UCKL1</v>
      </c>
      <c r="D162" t="s">
        <v>432</v>
      </c>
      <c r="E162" t="s">
        <v>389</v>
      </c>
      <c r="F162" s="27">
        <v>0.340075248</v>
      </c>
      <c r="G162" s="27">
        <v>0.340075248</v>
      </c>
      <c r="H162" s="27">
        <v>4.8355129999999996E-3</v>
      </c>
      <c r="I162" s="27">
        <v>0.147505734</v>
      </c>
      <c r="Q162" s="13"/>
    </row>
    <row r="163" spans="1:17">
      <c r="A163" t="s">
        <v>10</v>
      </c>
      <c r="B163" t="str">
        <f>VLOOKUP(A163,PW!A:C,3,0)</f>
        <v>Focal adhesion</v>
      </c>
      <c r="C163" t="str">
        <f t="shared" si="2"/>
        <v>JUN-&gt;CCND1</v>
      </c>
      <c r="D163" t="s">
        <v>367</v>
      </c>
      <c r="E163" t="s">
        <v>259</v>
      </c>
      <c r="F163" s="27">
        <v>0.33994840100000001</v>
      </c>
      <c r="G163" s="27">
        <v>0.33994840100000001</v>
      </c>
      <c r="H163" s="27">
        <v>3.2947935999999997E-2</v>
      </c>
      <c r="I163" s="27">
        <v>0.30674497099999998</v>
      </c>
    </row>
    <row r="164" spans="1:17">
      <c r="A164" t="s">
        <v>169</v>
      </c>
      <c r="B164" t="str">
        <f>VLOOKUP(A164,PW!A:C,3,0)</f>
        <v>Pathways in cancer</v>
      </c>
      <c r="C164" t="str">
        <f t="shared" si="2"/>
        <v>JUN-&gt;CCND1</v>
      </c>
      <c r="D164" t="s">
        <v>367</v>
      </c>
      <c r="E164" t="s">
        <v>259</v>
      </c>
      <c r="F164" s="27">
        <v>0.33994840100000001</v>
      </c>
      <c r="G164" s="27">
        <v>0.33994840100000001</v>
      </c>
      <c r="H164" s="27">
        <v>3.2947935999999997E-2</v>
      </c>
      <c r="I164" s="27">
        <v>0.30674497099999998</v>
      </c>
    </row>
    <row r="165" spans="1:17">
      <c r="A165" t="s">
        <v>196</v>
      </c>
      <c r="B165" t="str">
        <f>VLOOKUP(A165,PW!A:C,3,0)</f>
        <v>Bladder cancer</v>
      </c>
      <c r="C165" t="str">
        <f t="shared" si="2"/>
        <v>JUN-&gt;CCND1</v>
      </c>
      <c r="D165" t="s">
        <v>367</v>
      </c>
      <c r="E165" t="s">
        <v>259</v>
      </c>
      <c r="F165" s="27">
        <v>0.33994840100000001</v>
      </c>
      <c r="G165" s="27">
        <v>0.33994840100000001</v>
      </c>
      <c r="H165" s="27">
        <v>3.2947935999999997E-2</v>
      </c>
      <c r="I165" s="27">
        <v>0.30674497099999998</v>
      </c>
    </row>
    <row r="166" spans="1:17">
      <c r="A166" t="s">
        <v>158</v>
      </c>
      <c r="B166" t="str">
        <f>VLOOKUP(A166,PW!A:C,3,0)</f>
        <v>Glycosphingolipid bi</v>
      </c>
      <c r="C166" t="str">
        <f t="shared" si="2"/>
        <v>B4GALT4-&gt;GCNT2</v>
      </c>
      <c r="D166" t="s">
        <v>433</v>
      </c>
      <c r="E166" t="s">
        <v>434</v>
      </c>
      <c r="F166" s="27">
        <v>-0.339713822</v>
      </c>
      <c r="G166" s="27">
        <v>0.339713822</v>
      </c>
      <c r="H166" s="27">
        <v>1.6228657E-2</v>
      </c>
      <c r="I166" s="27">
        <v>0.24010305500000001</v>
      </c>
    </row>
    <row r="167" spans="1:17">
      <c r="A167" t="s">
        <v>130</v>
      </c>
      <c r="B167" t="str">
        <f>VLOOKUP(A167,PW!A:C,3,0)</f>
        <v>N‑Glycan biosynthesis</v>
      </c>
      <c r="C167" t="str">
        <f t="shared" si="2"/>
        <v>ALG12-&gt;ALG9</v>
      </c>
      <c r="D167" t="s">
        <v>435</v>
      </c>
      <c r="E167" t="s">
        <v>307</v>
      </c>
      <c r="F167" s="27">
        <v>-0.33881169500000002</v>
      </c>
      <c r="G167" s="27">
        <v>0.33881169500000002</v>
      </c>
      <c r="H167" s="27">
        <v>2.4597299999999998E-3</v>
      </c>
      <c r="I167" s="27">
        <v>0.11150777000000001</v>
      </c>
    </row>
    <row r="168" spans="1:17">
      <c r="A168" t="s">
        <v>94</v>
      </c>
      <c r="B168" t="str">
        <f>VLOOKUP(A168,PW!A:C,3,0)</f>
        <v>Pentose phosphate</v>
      </c>
      <c r="C168" t="str">
        <f t="shared" si="2"/>
        <v>PGLS-&gt;IDNK</v>
      </c>
      <c r="D168" t="s">
        <v>396</v>
      </c>
      <c r="E168" t="s">
        <v>436</v>
      </c>
      <c r="F168" s="27">
        <v>-0.33754366800000002</v>
      </c>
      <c r="G168" s="27">
        <v>0.33754366800000002</v>
      </c>
      <c r="H168" s="27">
        <v>4.0006861999999997E-2</v>
      </c>
      <c r="I168" s="27">
        <v>0.32975352800000002</v>
      </c>
    </row>
    <row r="169" spans="1:17">
      <c r="A169" t="s">
        <v>143</v>
      </c>
      <c r="B169" t="str">
        <f>VLOOKUP(A169,PW!A:C,3,0)</f>
        <v>Th1 and Th2 cell dif</v>
      </c>
      <c r="C169" t="str">
        <f t="shared" si="2"/>
        <v>TBX21-&gt;IL4</v>
      </c>
      <c r="D169" t="s">
        <v>402</v>
      </c>
      <c r="E169" t="s">
        <v>275</v>
      </c>
      <c r="F169" s="27">
        <v>-0.33539237300000002</v>
      </c>
      <c r="G169" s="27">
        <v>0.33539237300000002</v>
      </c>
      <c r="H169" s="27">
        <v>4.5307379000000002E-2</v>
      </c>
      <c r="I169" s="27">
        <v>0.34012037499999997</v>
      </c>
    </row>
    <row r="170" spans="1:17">
      <c r="A170" t="s">
        <v>120</v>
      </c>
      <c r="B170" t="str">
        <f>VLOOKUP(A170,PW!A:C,3,0)</f>
        <v>Inflammatory bowel d</v>
      </c>
      <c r="C170" t="str">
        <f t="shared" si="2"/>
        <v>TBX21-&gt;IL4</v>
      </c>
      <c r="D170" t="s">
        <v>402</v>
      </c>
      <c r="E170" t="s">
        <v>275</v>
      </c>
      <c r="F170" s="27">
        <v>-0.33539237300000002</v>
      </c>
      <c r="G170" s="27">
        <v>0.33539237300000002</v>
      </c>
      <c r="H170" s="27">
        <v>4.5307379000000002E-2</v>
      </c>
      <c r="I170" s="27">
        <v>0.34012037499999997</v>
      </c>
    </row>
    <row r="171" spans="1:17">
      <c r="A171" t="s">
        <v>156</v>
      </c>
      <c r="B171" t="str">
        <f>VLOOKUP(A171,PW!A:C,3,0)</f>
        <v>Sphingolipid metabol</v>
      </c>
      <c r="C171" t="str">
        <f t="shared" si="2"/>
        <v>GBA1-&gt;PLPP1</v>
      </c>
      <c r="D171" t="s">
        <v>437</v>
      </c>
      <c r="E171" t="s">
        <v>321</v>
      </c>
      <c r="F171" s="27">
        <v>0.33535429100000003</v>
      </c>
      <c r="G171" s="27">
        <v>0.33535429100000003</v>
      </c>
      <c r="H171" s="27">
        <v>2.4835210999999999E-2</v>
      </c>
      <c r="I171" s="27">
        <v>0.28643861700000001</v>
      </c>
    </row>
    <row r="172" spans="1:17">
      <c r="A172" t="s">
        <v>95</v>
      </c>
      <c r="B172" t="str">
        <f>VLOOKUP(A172,PW!A:C,3,0)</f>
        <v>Fructose &amp; mannose</v>
      </c>
      <c r="C172" t="str">
        <f t="shared" si="2"/>
        <v>SORD-&gt;KHK</v>
      </c>
      <c r="D172" t="s">
        <v>438</v>
      </c>
      <c r="E172" t="s">
        <v>439</v>
      </c>
      <c r="F172" s="27">
        <v>-0.33273775999999999</v>
      </c>
      <c r="G172" s="27">
        <v>0.33273775999999999</v>
      </c>
      <c r="H172" s="27">
        <v>2.5314624000000001E-2</v>
      </c>
      <c r="I172" s="27">
        <v>0.28878959799999998</v>
      </c>
      <c r="Q172" s="14"/>
    </row>
    <row r="173" spans="1:17">
      <c r="A173" t="s">
        <v>111</v>
      </c>
      <c r="B173" t="str">
        <f>VLOOKUP(A173,PW!A:C,3,0)</f>
        <v>Lysine degradation</v>
      </c>
      <c r="C173" t="str">
        <f t="shared" si="2"/>
        <v>CAMKMT-&gt;EHMT2</v>
      </c>
      <c r="D173" t="s">
        <v>440</v>
      </c>
      <c r="E173" t="s">
        <v>414</v>
      </c>
      <c r="F173" s="27">
        <v>-0.33089837</v>
      </c>
      <c r="G173" s="27">
        <v>0.33089837</v>
      </c>
      <c r="H173" s="27">
        <v>7.5906460000000004E-3</v>
      </c>
      <c r="I173" s="27">
        <v>0.175246966</v>
      </c>
    </row>
    <row r="174" spans="1:17">
      <c r="A174" t="s">
        <v>12</v>
      </c>
      <c r="B174" t="str">
        <f>VLOOKUP(A174,PW!A:C,3,0)</f>
        <v>Apelin signaling pat</v>
      </c>
      <c r="C174" t="str">
        <f>D174&amp;"-&gt;"&amp;E174</f>
        <v>MAPK1-&gt;JAG1</v>
      </c>
      <c r="D174" t="s">
        <v>337</v>
      </c>
      <c r="E174" t="s">
        <v>441</v>
      </c>
      <c r="F174" s="27">
        <v>-0.33061224700000003</v>
      </c>
      <c r="G174" s="27">
        <v>0.33061224700000003</v>
      </c>
      <c r="H174" s="27">
        <v>9.3656959999999997E-3</v>
      </c>
      <c r="I174" s="27">
        <v>0.19850409899999999</v>
      </c>
    </row>
    <row r="175" spans="1:17">
      <c r="A175" t="s">
        <v>189</v>
      </c>
      <c r="B175" t="str">
        <f>VLOOKUP(A175,PW!A:C,3,0)</f>
        <v>Osteoclast different</v>
      </c>
      <c r="C175" t="str">
        <f t="shared" si="2"/>
        <v>NFATC1-&gt;CTSK</v>
      </c>
      <c r="D175" t="s">
        <v>274</v>
      </c>
      <c r="E175" t="s">
        <v>442</v>
      </c>
      <c r="F175" s="27">
        <v>0.32971254700000002</v>
      </c>
      <c r="G175" s="27">
        <v>0.32971254700000002</v>
      </c>
      <c r="H175" s="27">
        <v>8.2309600000000005E-4</v>
      </c>
      <c r="I175" s="27">
        <v>5.9701922999999997E-2</v>
      </c>
    </row>
    <row r="176" spans="1:17">
      <c r="A176" t="s">
        <v>92</v>
      </c>
      <c r="B176" t="str">
        <f>VLOOKUP(A176,PW!A:C,3,0)</f>
        <v>Glycolysis</v>
      </c>
      <c r="C176" t="str">
        <f t="shared" si="2"/>
        <v>ALDOA-&gt;PFKL</v>
      </c>
      <c r="D176" t="s">
        <v>443</v>
      </c>
      <c r="E176" t="s">
        <v>444</v>
      </c>
      <c r="F176" s="27">
        <v>0.32857048799999999</v>
      </c>
      <c r="G176" s="27">
        <v>0.32857048799999999</v>
      </c>
      <c r="H176" s="27">
        <v>9.2717790000000008E-3</v>
      </c>
      <c r="I176" s="27">
        <v>0.19850409899999999</v>
      </c>
    </row>
    <row r="177" spans="1:17">
      <c r="A177" t="s">
        <v>94</v>
      </c>
      <c r="B177" t="str">
        <f>VLOOKUP(A177,PW!A:C,3,0)</f>
        <v>Pentose phosphate</v>
      </c>
      <c r="C177" t="str">
        <f t="shared" si="2"/>
        <v>ALDOA-&gt;PFKL</v>
      </c>
      <c r="D177" t="s">
        <v>443</v>
      </c>
      <c r="E177" t="s">
        <v>444</v>
      </c>
      <c r="F177" s="27">
        <v>0.32857048799999999</v>
      </c>
      <c r="G177" s="27">
        <v>0.32857048799999999</v>
      </c>
      <c r="H177" s="27">
        <v>9.2717790000000008E-3</v>
      </c>
      <c r="I177" s="27">
        <v>0.19850409899999999</v>
      </c>
    </row>
    <row r="178" spans="1:17">
      <c r="A178" t="s">
        <v>179</v>
      </c>
      <c r="B178" t="str">
        <f>VLOOKUP(A178,PW!A:C,3,0)</f>
        <v>Cortisol synthesis a</v>
      </c>
      <c r="C178" t="str">
        <f t="shared" si="2"/>
        <v>SP1-&gt;NCEH1</v>
      </c>
      <c r="D178" t="s">
        <v>445</v>
      </c>
      <c r="E178" t="s">
        <v>446</v>
      </c>
      <c r="F178" s="27">
        <v>-0.32830226699999998</v>
      </c>
      <c r="G178" s="27">
        <v>0.32830226699999998</v>
      </c>
      <c r="H178" s="27">
        <v>2.5286211999999999E-2</v>
      </c>
      <c r="I178" s="27">
        <v>0.28878959799999998</v>
      </c>
    </row>
    <row r="179" spans="1:17">
      <c r="A179" t="s">
        <v>15</v>
      </c>
      <c r="B179" t="str">
        <f>VLOOKUP(A179,PW!A:C,3,0)</f>
        <v>Cushing syndrome KEG</v>
      </c>
      <c r="C179" t="str">
        <f t="shared" si="2"/>
        <v>SP1-&gt;NCEH1</v>
      </c>
      <c r="D179" t="s">
        <v>445</v>
      </c>
      <c r="E179" t="s">
        <v>446</v>
      </c>
      <c r="F179" s="27">
        <v>-0.32830226699999998</v>
      </c>
      <c r="G179" s="27">
        <v>0.32830226699999998</v>
      </c>
      <c r="H179" s="27">
        <v>2.5286211999999999E-2</v>
      </c>
      <c r="I179" s="27">
        <v>0.28878959799999998</v>
      </c>
    </row>
    <row r="180" spans="1:17">
      <c r="A180" t="s">
        <v>149</v>
      </c>
      <c r="B180" t="str">
        <f>VLOOKUP(A180,PW!A:C,3,0)</f>
        <v xml:space="preserve">Glycerophospholipid </v>
      </c>
      <c r="C180" t="str">
        <f t="shared" si="2"/>
        <v>PLA2G4B-&gt;PISD</v>
      </c>
      <c r="D180" t="s">
        <v>370</v>
      </c>
      <c r="E180" t="s">
        <v>447</v>
      </c>
      <c r="F180" s="27">
        <v>0.32408390100000001</v>
      </c>
      <c r="G180" s="27">
        <v>0.32408390100000001</v>
      </c>
      <c r="H180" s="27">
        <v>2.5392958E-2</v>
      </c>
      <c r="I180" s="27">
        <v>0.28878959799999998</v>
      </c>
    </row>
    <row r="181" spans="1:17">
      <c r="A181" t="s">
        <v>175</v>
      </c>
      <c r="B181" t="str">
        <f>VLOOKUP(A181,PW!A:C,3,0)</f>
        <v>Lipoic acid metaboli</v>
      </c>
      <c r="C181" t="str">
        <f t="shared" si="2"/>
        <v>DLD-&gt;DHTKD1</v>
      </c>
      <c r="D181" t="s">
        <v>448</v>
      </c>
      <c r="E181" t="s">
        <v>449</v>
      </c>
      <c r="F181" s="27">
        <v>-0.32132507999999999</v>
      </c>
      <c r="G181" s="27">
        <v>0.32132507999999999</v>
      </c>
      <c r="H181" s="27">
        <v>2.4038248000000002E-2</v>
      </c>
      <c r="I181" s="27">
        <v>0.28108855500000002</v>
      </c>
    </row>
    <row r="182" spans="1:17">
      <c r="A182" t="s">
        <v>147</v>
      </c>
      <c r="B182" t="str">
        <f>VLOOKUP(A182,PW!A:C,3,0)</f>
        <v>AGE‑RAGE signaling p</v>
      </c>
      <c r="C182" t="str">
        <f t="shared" si="2"/>
        <v>JUN-&gt;EDN1</v>
      </c>
      <c r="D182" t="s">
        <v>367</v>
      </c>
      <c r="E182" t="s">
        <v>450</v>
      </c>
      <c r="F182" s="27">
        <v>-0.31813313599999998</v>
      </c>
      <c r="G182" s="27">
        <v>0.31813313599999998</v>
      </c>
      <c r="H182" s="27">
        <v>1.2927711E-2</v>
      </c>
      <c r="I182" s="27">
        <v>0.22329868</v>
      </c>
    </row>
    <row r="183" spans="1:17">
      <c r="A183" t="s">
        <v>41</v>
      </c>
      <c r="B183" t="str">
        <f>VLOOKUP(A183,PW!A:C,3,0)</f>
        <v>Fluid shear stress a</v>
      </c>
      <c r="C183" t="str">
        <f t="shared" si="2"/>
        <v>FOS-&gt;EDN1</v>
      </c>
      <c r="D183" t="s">
        <v>319</v>
      </c>
      <c r="E183" t="s">
        <v>450</v>
      </c>
      <c r="F183" s="27">
        <v>-0.31734580499999998</v>
      </c>
      <c r="G183" s="27">
        <v>0.31734580499999998</v>
      </c>
      <c r="H183" s="27">
        <v>2.4199107000000001E-2</v>
      </c>
      <c r="I183" s="27">
        <v>0.28108855500000002</v>
      </c>
    </row>
    <row r="184" spans="1:17">
      <c r="A184" t="s">
        <v>151</v>
      </c>
      <c r="B184" t="str">
        <f>VLOOKUP(A184,PW!A:C,3,0)</f>
        <v>Ether lipid metaboli</v>
      </c>
      <c r="C184" t="str">
        <f t="shared" si="2"/>
        <v>PAFAH1B1-&gt;CEPT1</v>
      </c>
      <c r="D184" t="s">
        <v>451</v>
      </c>
      <c r="E184" t="s">
        <v>295</v>
      </c>
      <c r="F184" s="27">
        <v>-0.31725708899999999</v>
      </c>
      <c r="G184" s="27">
        <v>0.31725708899999999</v>
      </c>
      <c r="H184" s="27">
        <v>2.0409104000000001E-2</v>
      </c>
      <c r="I184" s="27">
        <v>0.25818887899999998</v>
      </c>
    </row>
    <row r="185" spans="1:17">
      <c r="A185" t="s">
        <v>136</v>
      </c>
      <c r="B185" t="str">
        <f>VLOOKUP(A185,PW!A:C,3,0)</f>
        <v>Mannose‑type O‑glycan</v>
      </c>
      <c r="C185" t="str">
        <f t="shared" si="2"/>
        <v>POMT1-&gt;POMGNT1</v>
      </c>
      <c r="D185" t="s">
        <v>452</v>
      </c>
      <c r="E185" t="s">
        <v>453</v>
      </c>
      <c r="F185" s="27">
        <v>-0.31473951300000003</v>
      </c>
      <c r="G185" s="27">
        <v>0.31473951300000003</v>
      </c>
      <c r="H185" s="27">
        <v>8.3039359999999996E-3</v>
      </c>
      <c r="I185" s="27">
        <v>0.18539280299999999</v>
      </c>
    </row>
    <row r="186" spans="1:17">
      <c r="A186" t="s">
        <v>102</v>
      </c>
      <c r="B186" t="str">
        <f>VLOOKUP(A186,PW!A:C,3,0)</f>
        <v>Pyrimidine metabolism</v>
      </c>
      <c r="C186" t="str">
        <f t="shared" si="2"/>
        <v>CANT1-&gt;UMPS</v>
      </c>
      <c r="D186" t="s">
        <v>432</v>
      </c>
      <c r="E186" t="s">
        <v>454</v>
      </c>
      <c r="F186" s="27">
        <v>0.31448265399999997</v>
      </c>
      <c r="G186" s="27">
        <v>0.31448265399999997</v>
      </c>
      <c r="H186" s="27">
        <v>5.4500000000000003E-5</v>
      </c>
      <c r="I186" s="27">
        <v>1.7790226999999999E-2</v>
      </c>
      <c r="Q186" s="13"/>
    </row>
    <row r="187" spans="1:17">
      <c r="A187" t="s">
        <v>118</v>
      </c>
      <c r="B187" t="str">
        <f>VLOOKUP(A187,PW!A:C,3,0)</f>
        <v xml:space="preserve">Prolactin signaling </v>
      </c>
      <c r="C187" t="str">
        <f t="shared" si="2"/>
        <v>STAT1-&gt;CCND1</v>
      </c>
      <c r="D187" t="s">
        <v>308</v>
      </c>
      <c r="E187" t="s">
        <v>259</v>
      </c>
      <c r="F187" s="27">
        <v>0.31377649600000002</v>
      </c>
      <c r="G187" s="27">
        <v>0.31377649600000002</v>
      </c>
      <c r="H187" s="27">
        <v>4.3934816000000002E-2</v>
      </c>
      <c r="I187" s="27">
        <v>0.34012037499999997</v>
      </c>
    </row>
    <row r="188" spans="1:17">
      <c r="A188" t="s">
        <v>93</v>
      </c>
      <c r="B188" t="str">
        <f>VLOOKUP(A188,PW!A:C,3,0)</f>
        <v>Citrate cycle</v>
      </c>
      <c r="C188" t="str">
        <f t="shared" si="2"/>
        <v>DLD-&gt;PDHA1</v>
      </c>
      <c r="D188" t="s">
        <v>448</v>
      </c>
      <c r="E188" t="s">
        <v>455</v>
      </c>
      <c r="F188" s="27">
        <v>0.31287770199999998</v>
      </c>
      <c r="G188" s="27">
        <v>0.31287770199999998</v>
      </c>
      <c r="H188" s="27">
        <v>2.0453388999999999E-2</v>
      </c>
      <c r="I188" s="27">
        <v>0.25818887899999998</v>
      </c>
    </row>
    <row r="189" spans="1:17">
      <c r="A189" t="s">
        <v>164</v>
      </c>
      <c r="B189" t="str">
        <f>VLOOKUP(A189,PW!A:C,3,0)</f>
        <v xml:space="preserve">Pyruvate metabolism </v>
      </c>
      <c r="C189" t="str">
        <f t="shared" si="2"/>
        <v>DLD-&gt;PDHA1</v>
      </c>
      <c r="D189" t="s">
        <v>448</v>
      </c>
      <c r="E189" t="s">
        <v>455</v>
      </c>
      <c r="F189" s="27">
        <v>0.31287770199999998</v>
      </c>
      <c r="G189" s="27">
        <v>0.31287770199999998</v>
      </c>
      <c r="H189" s="27">
        <v>2.0453388999999999E-2</v>
      </c>
      <c r="I189" s="27">
        <v>0.25818887899999998</v>
      </c>
    </row>
    <row r="190" spans="1:17">
      <c r="A190" t="s">
        <v>175</v>
      </c>
      <c r="B190" t="str">
        <f>VLOOKUP(A190,PW!A:C,3,0)</f>
        <v>Lipoic acid metaboli</v>
      </c>
      <c r="C190" t="str">
        <f t="shared" si="2"/>
        <v>DLD-&gt;PDHA1</v>
      </c>
      <c r="D190" t="s">
        <v>448</v>
      </c>
      <c r="E190" t="s">
        <v>455</v>
      </c>
      <c r="F190" s="27">
        <v>0.31287770199999998</v>
      </c>
      <c r="G190" s="27">
        <v>0.31287770199999998</v>
      </c>
      <c r="H190" s="27">
        <v>2.0453388999999999E-2</v>
      </c>
      <c r="I190" s="27">
        <v>0.25818887899999998</v>
      </c>
    </row>
    <row r="191" spans="1:17">
      <c r="A191" t="s">
        <v>166</v>
      </c>
      <c r="B191" t="str">
        <f>VLOOKUP(A191,PW!A:C,3,0)</f>
        <v>Propanoate metabolis</v>
      </c>
      <c r="C191" t="str">
        <f t="shared" si="2"/>
        <v>ALDH6A1-&gt;ACADS</v>
      </c>
      <c r="D191" t="s">
        <v>412</v>
      </c>
      <c r="E191" t="s">
        <v>456</v>
      </c>
      <c r="F191" s="27">
        <v>-0.31269410399999997</v>
      </c>
      <c r="G191" s="27">
        <v>0.31269410399999997</v>
      </c>
      <c r="H191" s="27">
        <v>3.2945373999999999E-2</v>
      </c>
      <c r="I191" s="27">
        <v>0.30674497099999998</v>
      </c>
    </row>
    <row r="192" spans="1:17">
      <c r="A192" t="s">
        <v>183</v>
      </c>
      <c r="B192" t="str">
        <f>VLOOKUP(A192,PW!A:C,3,0)</f>
        <v>Drug metabolism</v>
      </c>
      <c r="C192" t="str">
        <f t="shared" si="2"/>
        <v>CMPK1-&gt;UCKL1</v>
      </c>
      <c r="D192" t="s">
        <v>457</v>
      </c>
      <c r="E192" t="s">
        <v>389</v>
      </c>
      <c r="F192" s="27">
        <v>-0.312520943</v>
      </c>
      <c r="G192" s="27">
        <v>0.312520943</v>
      </c>
      <c r="H192" s="27">
        <v>2.8621523999999999E-2</v>
      </c>
      <c r="I192" s="27">
        <v>0.29377563800000001</v>
      </c>
    </row>
    <row r="193" spans="1:17">
      <c r="A193" t="s">
        <v>97</v>
      </c>
      <c r="B193" t="str">
        <f>VLOOKUP(A193,PW!A:C,3,0)</f>
        <v>Fatty acid biosynthesis</v>
      </c>
      <c r="C193" t="str">
        <f t="shared" si="2"/>
        <v>ACACA-&gt;MCAT</v>
      </c>
      <c r="D193" t="s">
        <v>425</v>
      </c>
      <c r="E193" t="s">
        <v>458</v>
      </c>
      <c r="F193" s="27">
        <v>-0.311688619</v>
      </c>
      <c r="G193" s="27">
        <v>0.311688619</v>
      </c>
      <c r="H193" s="27">
        <v>3.5729862000000001E-2</v>
      </c>
      <c r="I193" s="27">
        <v>0.31350072699999998</v>
      </c>
      <c r="Q193" s="14"/>
    </row>
    <row r="194" spans="1:17">
      <c r="A194" t="s">
        <v>94</v>
      </c>
      <c r="B194" t="str">
        <f>VLOOKUP(A194,PW!A:C,3,0)</f>
        <v>Pentose phosphate</v>
      </c>
      <c r="C194" t="str">
        <f t="shared" ref="C194:C257" si="3">D194&amp;"-&gt;"&amp;E194</f>
        <v>SHPK-&gt;TKT</v>
      </c>
      <c r="D194" t="s">
        <v>459</v>
      </c>
      <c r="E194" t="s">
        <v>460</v>
      </c>
      <c r="F194" s="27">
        <v>0.30876642199999998</v>
      </c>
      <c r="G194" s="27">
        <v>0.30876642199999998</v>
      </c>
      <c r="H194" s="27">
        <v>1.2625203E-2</v>
      </c>
      <c r="I194" s="27">
        <v>0.22281664500000001</v>
      </c>
      <c r="Q194" s="12"/>
    </row>
    <row r="195" spans="1:17">
      <c r="A195" t="s">
        <v>185</v>
      </c>
      <c r="B195" t="str">
        <f>VLOOKUP(A195,PW!A:C,3,0)</f>
        <v>Phosphatidylinositol</v>
      </c>
      <c r="C195" t="str">
        <f t="shared" si="3"/>
        <v>INPP5A-&gt;IPMK</v>
      </c>
      <c r="D195" t="s">
        <v>461</v>
      </c>
      <c r="E195" t="s">
        <v>462</v>
      </c>
      <c r="F195" s="27">
        <v>-0.30616049099999998</v>
      </c>
      <c r="G195" s="27">
        <v>0.30616049099999998</v>
      </c>
      <c r="H195" s="27">
        <v>6.6369710000000002E-3</v>
      </c>
      <c r="I195" s="27">
        <v>0.165613279</v>
      </c>
    </row>
    <row r="196" spans="1:17">
      <c r="A196" t="s">
        <v>170</v>
      </c>
      <c r="B196" t="str">
        <f>VLOOKUP(A196,PW!A:C,3,0)</f>
        <v>One carbon pool by f</v>
      </c>
      <c r="C196" t="str">
        <f t="shared" si="3"/>
        <v>MTHFD2-&gt;SHMT1</v>
      </c>
      <c r="D196" t="s">
        <v>424</v>
      </c>
      <c r="E196" t="s">
        <v>463</v>
      </c>
      <c r="F196" s="27">
        <v>0.306120964</v>
      </c>
      <c r="G196" s="27">
        <v>0.306120964</v>
      </c>
      <c r="H196" s="27">
        <v>1.4481393E-2</v>
      </c>
      <c r="I196" s="27">
        <v>0.23038882099999999</v>
      </c>
    </row>
    <row r="197" spans="1:17">
      <c r="A197" t="s">
        <v>185</v>
      </c>
      <c r="B197" t="str">
        <f>VLOOKUP(A197,PW!A:C,3,0)</f>
        <v>Phosphatidylinositol</v>
      </c>
      <c r="C197" t="str">
        <f t="shared" si="3"/>
        <v>INPP1-&gt;ITPK1</v>
      </c>
      <c r="D197" t="s">
        <v>464</v>
      </c>
      <c r="E197" t="s">
        <v>465</v>
      </c>
      <c r="F197" s="27">
        <v>-0.30267122200000002</v>
      </c>
      <c r="G197" s="27">
        <v>0.30267122200000002</v>
      </c>
      <c r="H197" s="27">
        <v>2.5994771999999999E-2</v>
      </c>
      <c r="I197" s="27">
        <v>0.29035814700000001</v>
      </c>
    </row>
    <row r="198" spans="1:17">
      <c r="A198" t="s">
        <v>143</v>
      </c>
      <c r="B198" t="str">
        <f>VLOOKUP(A198,PW!A:C,3,0)</f>
        <v>Th1 and Th2 cell dif</v>
      </c>
      <c r="C198" t="str">
        <f t="shared" si="3"/>
        <v>STAT4-&gt;TBX21</v>
      </c>
      <c r="D198" t="s">
        <v>384</v>
      </c>
      <c r="E198" t="s">
        <v>402</v>
      </c>
      <c r="F198" s="27">
        <v>0.29892431200000003</v>
      </c>
      <c r="G198" s="27">
        <v>0.29892431200000003</v>
      </c>
      <c r="H198" s="27">
        <v>4.793004E-3</v>
      </c>
      <c r="I198" s="27">
        <v>0.147505734</v>
      </c>
    </row>
    <row r="199" spans="1:17">
      <c r="A199" t="s">
        <v>165</v>
      </c>
      <c r="B199" t="str">
        <f>VLOOKUP(A199,PW!A:C,3,0)</f>
        <v>Glyoxylate and dicar</v>
      </c>
      <c r="C199" t="str">
        <f t="shared" si="3"/>
        <v>CS-&gt;ACAT1</v>
      </c>
      <c r="D199" t="s">
        <v>466</v>
      </c>
      <c r="E199" t="s">
        <v>467</v>
      </c>
      <c r="F199" s="27">
        <v>-0.29777162299999999</v>
      </c>
      <c r="G199" s="27">
        <v>0.29777162299999999</v>
      </c>
      <c r="H199" s="27">
        <v>4.1070220999999997E-2</v>
      </c>
      <c r="I199" s="27">
        <v>0.33513300600000001</v>
      </c>
    </row>
    <row r="200" spans="1:17">
      <c r="A200" t="s">
        <v>113</v>
      </c>
      <c r="B200" t="str">
        <f>VLOOKUP(A200,PW!A:C,3,0)</f>
        <v>Arginine and proline</v>
      </c>
      <c r="C200" t="str">
        <f t="shared" si="3"/>
        <v>ALDH2-&gt;CARNS1</v>
      </c>
      <c r="D200" t="s">
        <v>299</v>
      </c>
      <c r="E200" t="s">
        <v>468</v>
      </c>
      <c r="F200" s="27">
        <v>0.29775352700000002</v>
      </c>
      <c r="G200" s="27">
        <v>0.29775352700000002</v>
      </c>
      <c r="H200" s="27">
        <v>4.2549322000000001E-2</v>
      </c>
      <c r="I200" s="27">
        <v>0.33790994400000002</v>
      </c>
    </row>
    <row r="201" spans="1:17">
      <c r="A201" t="s">
        <v>121</v>
      </c>
      <c r="B201" t="str">
        <f>VLOOKUP(A201,PW!A:C,3,0)</f>
        <v>β-Alanine metabolism</v>
      </c>
      <c r="C201" t="str">
        <f t="shared" si="3"/>
        <v>ALDH2-&gt;CARNS1</v>
      </c>
      <c r="D201" t="s">
        <v>299</v>
      </c>
      <c r="E201" t="s">
        <v>468</v>
      </c>
      <c r="F201" s="27">
        <v>0.29775352700000002</v>
      </c>
      <c r="G201" s="27">
        <v>0.29775352700000002</v>
      </c>
      <c r="H201" s="27">
        <v>4.2549322000000001E-2</v>
      </c>
      <c r="I201" s="27">
        <v>0.33790994400000002</v>
      </c>
    </row>
    <row r="202" spans="1:17">
      <c r="A202" t="s">
        <v>186</v>
      </c>
      <c r="B202" t="str">
        <f>VLOOKUP(A202,PW!A:C,3,0)</f>
        <v xml:space="preserve">Parathyroid hormone </v>
      </c>
      <c r="C202" t="str">
        <f t="shared" si="3"/>
        <v>PRKACA-&gt;NR4A2</v>
      </c>
      <c r="D202" t="s">
        <v>469</v>
      </c>
      <c r="E202" t="s">
        <v>470</v>
      </c>
      <c r="F202" s="27">
        <v>-0.294360383</v>
      </c>
      <c r="G202" s="27">
        <v>0.294360383</v>
      </c>
      <c r="H202" s="27">
        <v>2.6825056999999999E-2</v>
      </c>
      <c r="I202" s="27">
        <v>0.29035814700000001</v>
      </c>
    </row>
    <row r="203" spans="1:17">
      <c r="A203" t="s">
        <v>102</v>
      </c>
      <c r="B203" t="str">
        <f>VLOOKUP(A203,PW!A:C,3,0)</f>
        <v>Pyrimidine metabolism</v>
      </c>
      <c r="C203" t="str">
        <f t="shared" si="3"/>
        <v>UCKL1-&gt;UMPS</v>
      </c>
      <c r="D203" t="s">
        <v>389</v>
      </c>
      <c r="E203" t="s">
        <v>454</v>
      </c>
      <c r="F203" s="27">
        <v>-0.29417890800000002</v>
      </c>
      <c r="G203" s="27">
        <v>0.29417890800000002</v>
      </c>
      <c r="H203" s="27">
        <v>4.8699999999999998E-5</v>
      </c>
      <c r="I203" s="27">
        <v>1.7647493E-2</v>
      </c>
      <c r="Q203" s="12"/>
    </row>
    <row r="204" spans="1:17">
      <c r="A204" t="s">
        <v>183</v>
      </c>
      <c r="B204" t="str">
        <f>VLOOKUP(A204,PW!A:C,3,0)</f>
        <v>Drug metabolism</v>
      </c>
      <c r="C204" t="str">
        <f t="shared" si="3"/>
        <v>UCKL1-&gt;UMPS</v>
      </c>
      <c r="D204" t="s">
        <v>389</v>
      </c>
      <c r="E204" t="s">
        <v>454</v>
      </c>
      <c r="F204" s="27">
        <v>-0.29417890800000002</v>
      </c>
      <c r="G204" s="27">
        <v>0.29417890800000002</v>
      </c>
      <c r="H204" s="27">
        <v>4.8699999999999998E-5</v>
      </c>
      <c r="I204" s="27">
        <v>1.7647493E-2</v>
      </c>
    </row>
    <row r="205" spans="1:17">
      <c r="A205" t="s">
        <v>158</v>
      </c>
      <c r="B205" t="str">
        <f>VLOOKUP(A205,PW!A:C,3,0)</f>
        <v>Glycosphingolipid bi</v>
      </c>
      <c r="C205" t="str">
        <f t="shared" si="3"/>
        <v>B4GALT3-&gt;B3GALNT1</v>
      </c>
      <c r="D205" t="s">
        <v>471</v>
      </c>
      <c r="E205" t="s">
        <v>472</v>
      </c>
      <c r="F205" s="27">
        <v>-0.29163366099999999</v>
      </c>
      <c r="G205" s="27">
        <v>0.29163366099999999</v>
      </c>
      <c r="H205" s="27">
        <v>2.5709539999999999E-3</v>
      </c>
      <c r="I205" s="27">
        <v>0.113399902</v>
      </c>
    </row>
    <row r="206" spans="1:17">
      <c r="A206" t="s">
        <v>171</v>
      </c>
      <c r="B206" t="str">
        <f>VLOOKUP(A206,PW!A:C,3,0)</f>
        <v>Apoptosis</v>
      </c>
      <c r="C206" t="str">
        <f t="shared" si="3"/>
        <v>TP53-&gt;BID</v>
      </c>
      <c r="D206" t="s">
        <v>315</v>
      </c>
      <c r="E206" t="s">
        <v>473</v>
      </c>
      <c r="F206" s="27">
        <v>-0.28726183500000002</v>
      </c>
      <c r="G206" s="27">
        <v>0.28726183500000002</v>
      </c>
      <c r="H206" s="27">
        <v>7.0487200000000005E-4</v>
      </c>
      <c r="I206" s="27">
        <v>5.4778607999999999E-2</v>
      </c>
    </row>
    <row r="207" spans="1:17">
      <c r="A207" t="s">
        <v>183</v>
      </c>
      <c r="B207" t="str">
        <f>VLOOKUP(A207,PW!A:C,3,0)</f>
        <v>Drug metabolism</v>
      </c>
      <c r="C207" t="str">
        <f t="shared" si="3"/>
        <v>CMPK1-&gt;UMPS</v>
      </c>
      <c r="D207" t="s">
        <v>457</v>
      </c>
      <c r="E207" t="s">
        <v>454</v>
      </c>
      <c r="F207" s="27">
        <v>-0.28449295499999999</v>
      </c>
      <c r="G207" s="27">
        <v>0.28449295499999999</v>
      </c>
      <c r="H207" s="27">
        <v>1.9589755E-2</v>
      </c>
      <c r="I207" s="27">
        <v>0.25598808299999998</v>
      </c>
    </row>
    <row r="208" spans="1:17">
      <c r="A208" t="s">
        <v>95</v>
      </c>
      <c r="B208" t="str">
        <f>VLOOKUP(A208,PW!A:C,3,0)</f>
        <v>Fructose &amp; mannose</v>
      </c>
      <c r="C208" t="str">
        <f t="shared" si="3"/>
        <v>TKFC-&gt;ALDOA</v>
      </c>
      <c r="D208" t="s">
        <v>386</v>
      </c>
      <c r="E208" t="s">
        <v>443</v>
      </c>
      <c r="F208" s="27">
        <v>0.28090067200000002</v>
      </c>
      <c r="G208" s="27">
        <v>0.28090067200000002</v>
      </c>
      <c r="H208" s="27">
        <v>1.0712508000000001E-2</v>
      </c>
      <c r="I208" s="27">
        <v>0.208057667</v>
      </c>
      <c r="Q208" s="14"/>
    </row>
    <row r="209" spans="1:9">
      <c r="A209" t="s">
        <v>147</v>
      </c>
      <c r="B209" t="str">
        <f>VLOOKUP(A209,PW!A:C,3,0)</f>
        <v>AGE‑RAGE signaling p</v>
      </c>
      <c r="C209" t="str">
        <f t="shared" si="3"/>
        <v>NFKB1-&gt;ICAM1</v>
      </c>
      <c r="D209" t="s">
        <v>272</v>
      </c>
      <c r="E209" t="s">
        <v>474</v>
      </c>
      <c r="F209" s="27">
        <v>0.27999396700000001</v>
      </c>
      <c r="G209" s="27">
        <v>0.27999396700000001</v>
      </c>
      <c r="H209" s="27">
        <v>3.2107895999999997E-2</v>
      </c>
      <c r="I209" s="27">
        <v>0.30674497099999998</v>
      </c>
    </row>
    <row r="210" spans="1:9">
      <c r="A210" t="s">
        <v>193</v>
      </c>
      <c r="B210" t="str">
        <f>VLOOKUP(A210,PW!A:C,3,0)</f>
        <v>Influenza A</v>
      </c>
      <c r="C210" t="str">
        <f t="shared" si="3"/>
        <v>NFKB1-&gt;ICAM1</v>
      </c>
      <c r="D210" t="s">
        <v>272</v>
      </c>
      <c r="E210" t="s">
        <v>474</v>
      </c>
      <c r="F210" s="27">
        <v>0.27999396700000001</v>
      </c>
      <c r="G210" s="27">
        <v>0.27999396700000001</v>
      </c>
      <c r="H210" s="27">
        <v>3.2107895999999997E-2</v>
      </c>
      <c r="I210" s="27">
        <v>0.30674497099999998</v>
      </c>
    </row>
    <row r="211" spans="1:9">
      <c r="A211" t="s">
        <v>163</v>
      </c>
      <c r="B211" t="str">
        <f>VLOOKUP(A211,PW!A:C,3,0)</f>
        <v>Epstein‑Barr virus i</v>
      </c>
      <c r="C211" t="str">
        <f t="shared" si="3"/>
        <v>NFKB1-&gt;ICAM1</v>
      </c>
      <c r="D211" t="s">
        <v>272</v>
      </c>
      <c r="E211" t="s">
        <v>474</v>
      </c>
      <c r="F211" s="27">
        <v>0.27999396700000001</v>
      </c>
      <c r="G211" s="27">
        <v>0.27999396700000001</v>
      </c>
      <c r="H211" s="27">
        <v>3.2107895999999997E-2</v>
      </c>
      <c r="I211" s="27">
        <v>0.30674497099999998</v>
      </c>
    </row>
    <row r="212" spans="1:9">
      <c r="A212" t="s">
        <v>131</v>
      </c>
      <c r="B212" t="str">
        <f>VLOOKUP(A212,PW!A:C,3,0)</f>
        <v>Lipid and atheroscle</v>
      </c>
      <c r="C212" t="str">
        <f t="shared" si="3"/>
        <v>NFKB1-&gt;ICAM1</v>
      </c>
      <c r="D212" t="s">
        <v>272</v>
      </c>
      <c r="E212" t="s">
        <v>474</v>
      </c>
      <c r="F212" s="27">
        <v>0.27999396700000001</v>
      </c>
      <c r="G212" s="27">
        <v>0.27999396700000001</v>
      </c>
      <c r="H212" s="27">
        <v>3.2107895999999997E-2</v>
      </c>
      <c r="I212" s="27">
        <v>0.30674497099999998</v>
      </c>
    </row>
    <row r="213" spans="1:9">
      <c r="A213" t="s">
        <v>41</v>
      </c>
      <c r="B213" t="str">
        <f>VLOOKUP(A213,PW!A:C,3,0)</f>
        <v>Fluid shear stress a</v>
      </c>
      <c r="C213" t="str">
        <f t="shared" si="3"/>
        <v>NFKB1-&gt;ICAM1</v>
      </c>
      <c r="D213" t="s">
        <v>272</v>
      </c>
      <c r="E213" t="s">
        <v>474</v>
      </c>
      <c r="F213" s="27">
        <v>0.27999396700000001</v>
      </c>
      <c r="G213" s="27">
        <v>0.27999396700000001</v>
      </c>
      <c r="H213" s="27">
        <v>3.2107895999999997E-2</v>
      </c>
      <c r="I213" s="27">
        <v>0.30674497099999998</v>
      </c>
    </row>
    <row r="214" spans="1:9">
      <c r="A214" t="s">
        <v>190</v>
      </c>
      <c r="B214" t="str">
        <f>VLOOKUP(A214,PW!A:C,3,0)</f>
        <v>Thyroid hormone sign</v>
      </c>
      <c r="C214" t="str">
        <f t="shared" si="3"/>
        <v>THRB-&gt;CCND1</v>
      </c>
      <c r="D214" t="s">
        <v>475</v>
      </c>
      <c r="E214" t="s">
        <v>259</v>
      </c>
      <c r="F214" s="27">
        <v>-0.279722203</v>
      </c>
      <c r="G214" s="27">
        <v>0.279722203</v>
      </c>
      <c r="H214" s="27">
        <v>3.7141703999999998E-2</v>
      </c>
      <c r="I214" s="27">
        <v>0.31986945100000003</v>
      </c>
    </row>
    <row r="215" spans="1:9">
      <c r="A215" t="s">
        <v>185</v>
      </c>
      <c r="B215" t="str">
        <f>VLOOKUP(A215,PW!A:C,3,0)</f>
        <v>Phosphatidylinositol</v>
      </c>
      <c r="C215" t="str">
        <f t="shared" si="3"/>
        <v>PIP5K1C-&gt;PTEN</v>
      </c>
      <c r="D215" t="s">
        <v>476</v>
      </c>
      <c r="E215" t="s">
        <v>477</v>
      </c>
      <c r="F215" s="27">
        <v>0.27945660700000002</v>
      </c>
      <c r="G215" s="27">
        <v>0.27945660700000002</v>
      </c>
      <c r="H215" s="27">
        <v>2.2819687000000002E-2</v>
      </c>
      <c r="I215" s="27">
        <v>0.27761394</v>
      </c>
    </row>
    <row r="216" spans="1:9">
      <c r="A216" t="s">
        <v>116</v>
      </c>
      <c r="B216" t="str">
        <f>VLOOKUP(A216,PW!A:C,3,0)</f>
        <v>T cell receptor sign</v>
      </c>
      <c r="C216" t="str">
        <f t="shared" si="3"/>
        <v>NFATC1-&gt;TNF</v>
      </c>
      <c r="D216" t="s">
        <v>274</v>
      </c>
      <c r="E216" t="s">
        <v>478</v>
      </c>
      <c r="F216" s="27">
        <v>-0.27865741999999999</v>
      </c>
      <c r="G216" s="27">
        <v>0.27865741999999999</v>
      </c>
      <c r="H216" s="27">
        <v>1.3686744000000001E-2</v>
      </c>
      <c r="I216" s="27">
        <v>0.22562390399999999</v>
      </c>
    </row>
    <row r="217" spans="1:9">
      <c r="A217" t="s">
        <v>39</v>
      </c>
      <c r="B217" t="str">
        <f>VLOOKUP(A217,PW!A:C,3,0)</f>
        <v>Hepatitis B</v>
      </c>
      <c r="C217" t="str">
        <f t="shared" si="3"/>
        <v>NFATC1-&gt;TNF</v>
      </c>
      <c r="D217" t="s">
        <v>274</v>
      </c>
      <c r="E217" t="s">
        <v>478</v>
      </c>
      <c r="F217" s="27">
        <v>-0.27865741999999999</v>
      </c>
      <c r="G217" s="27">
        <v>0.27865741999999999</v>
      </c>
      <c r="H217" s="27">
        <v>1.3686744000000001E-2</v>
      </c>
      <c r="I217" s="27">
        <v>0.22562390399999999</v>
      </c>
    </row>
    <row r="218" spans="1:9">
      <c r="A218" t="s">
        <v>185</v>
      </c>
      <c r="B218" t="str">
        <f>VLOOKUP(A218,PW!A:C,3,0)</f>
        <v>Phosphatidylinositol</v>
      </c>
      <c r="C218" t="str">
        <f t="shared" si="3"/>
        <v>INPP5B-&gt;INPP4A</v>
      </c>
      <c r="D218" t="s">
        <v>340</v>
      </c>
      <c r="E218" t="s">
        <v>479</v>
      </c>
      <c r="F218" s="27">
        <v>0.27812699499999999</v>
      </c>
      <c r="G218" s="27">
        <v>0.27812699499999999</v>
      </c>
      <c r="H218" s="27">
        <v>2.4192699999999999E-4</v>
      </c>
      <c r="I218" s="27">
        <v>4.2726105E-2</v>
      </c>
    </row>
    <row r="219" spans="1:9">
      <c r="A219" t="s">
        <v>167</v>
      </c>
      <c r="B219" t="str">
        <f>VLOOKUP(A219,PW!A:C,3,0)</f>
        <v>mTOR signaling pathw</v>
      </c>
      <c r="C219" t="str">
        <f t="shared" si="3"/>
        <v>NFATC1-&gt;HIF1A</v>
      </c>
      <c r="D219" t="s">
        <v>274</v>
      </c>
      <c r="E219" t="s">
        <v>304</v>
      </c>
      <c r="F219" s="27">
        <v>0.277402176</v>
      </c>
      <c r="G219" s="27">
        <v>0.277402176</v>
      </c>
      <c r="H219" s="27">
        <v>2.2743949999999998E-3</v>
      </c>
      <c r="I219" s="27">
        <v>0.10805922900000001</v>
      </c>
    </row>
    <row r="220" spans="1:9">
      <c r="A220" t="s">
        <v>107</v>
      </c>
      <c r="B220" t="str">
        <f>VLOOKUP(A220,PW!A:C,3,0)</f>
        <v>Cysteine and methionine</v>
      </c>
      <c r="C220" t="str">
        <f t="shared" si="3"/>
        <v>AHCYL1-&gt;KYAT3</v>
      </c>
      <c r="D220" t="s">
        <v>480</v>
      </c>
      <c r="E220" t="s">
        <v>481</v>
      </c>
      <c r="F220" s="27">
        <v>-0.27659033100000002</v>
      </c>
      <c r="G220" s="27">
        <v>0.27659033100000002</v>
      </c>
      <c r="H220" s="27">
        <v>3.0027155E-2</v>
      </c>
      <c r="I220" s="27">
        <v>0.30249578100000002</v>
      </c>
    </row>
    <row r="221" spans="1:9">
      <c r="A221" t="s">
        <v>41</v>
      </c>
      <c r="B221" t="str">
        <f>VLOOKUP(A221,PW!A:C,3,0)</f>
        <v>Fluid shear stress a</v>
      </c>
      <c r="C221" t="str">
        <f t="shared" si="3"/>
        <v>NFE2L2-&gt;SQSTM1</v>
      </c>
      <c r="D221" t="s">
        <v>427</v>
      </c>
      <c r="E221" t="s">
        <v>482</v>
      </c>
      <c r="F221" s="27">
        <v>0.275151437</v>
      </c>
      <c r="G221" s="27">
        <v>0.275151437</v>
      </c>
      <c r="H221" s="27">
        <v>6.8507300000000002E-4</v>
      </c>
      <c r="I221" s="27">
        <v>5.4778607999999999E-2</v>
      </c>
    </row>
    <row r="222" spans="1:9">
      <c r="A222" t="s">
        <v>109</v>
      </c>
      <c r="B222" t="str">
        <f>VLOOKUP(A222,PW!A:C,3,0)</f>
        <v>Valine, leucine</v>
      </c>
      <c r="C222" t="str">
        <f t="shared" si="3"/>
        <v>ACAT1-&gt;OXCT1</v>
      </c>
      <c r="D222" t="s">
        <v>467</v>
      </c>
      <c r="E222" t="s">
        <v>483</v>
      </c>
      <c r="F222" s="27">
        <v>-0.27510880300000001</v>
      </c>
      <c r="G222" s="27">
        <v>0.27510880300000001</v>
      </c>
      <c r="H222" s="27">
        <v>3.2219402000000001E-2</v>
      </c>
      <c r="I222" s="27">
        <v>0.30674497099999998</v>
      </c>
    </row>
    <row r="223" spans="1:9">
      <c r="A223" t="s">
        <v>121</v>
      </c>
      <c r="B223" t="str">
        <f>VLOOKUP(A223,PW!A:C,3,0)</f>
        <v>β-Alanine metabolism</v>
      </c>
      <c r="C223" t="str">
        <f t="shared" si="3"/>
        <v>AOC2-&gt;SMOX</v>
      </c>
      <c r="D223" t="s">
        <v>484</v>
      </c>
      <c r="E223" t="s">
        <v>485</v>
      </c>
      <c r="F223" s="27">
        <v>0.27480075100000001</v>
      </c>
      <c r="G223" s="27">
        <v>0.27480075100000001</v>
      </c>
      <c r="H223" s="27">
        <v>2.9860210000000002E-2</v>
      </c>
      <c r="I223" s="27">
        <v>0.30174527699999998</v>
      </c>
    </row>
    <row r="224" spans="1:9">
      <c r="A224" t="s">
        <v>113</v>
      </c>
      <c r="B224" t="str">
        <f>VLOOKUP(A224,PW!A:C,3,0)</f>
        <v>Arginine and proline</v>
      </c>
      <c r="C224" t="str">
        <f t="shared" si="3"/>
        <v>OAT-&gt;ALDH4A1</v>
      </c>
      <c r="D224" t="s">
        <v>486</v>
      </c>
      <c r="E224" t="s">
        <v>487</v>
      </c>
      <c r="F224" s="27">
        <v>-0.273931602</v>
      </c>
      <c r="G224" s="27">
        <v>0.273931602</v>
      </c>
      <c r="H224" s="27">
        <v>1.3987902999999999E-2</v>
      </c>
      <c r="I224" s="27">
        <v>0.229429731</v>
      </c>
    </row>
    <row r="225" spans="1:17">
      <c r="A225" t="s">
        <v>95</v>
      </c>
      <c r="B225" t="str">
        <f>VLOOKUP(A225,PW!A:C,3,0)</f>
        <v>Fructose &amp; mannose</v>
      </c>
      <c r="C225" t="str">
        <f t="shared" si="3"/>
        <v>ALDOA-&gt;TKFC</v>
      </c>
      <c r="D225" t="s">
        <v>443</v>
      </c>
      <c r="E225" t="s">
        <v>386</v>
      </c>
      <c r="F225" s="27">
        <v>0.27321941900000002</v>
      </c>
      <c r="G225" s="27">
        <v>0.27321941900000002</v>
      </c>
      <c r="H225" s="27">
        <v>1.1214394000000001E-2</v>
      </c>
      <c r="I225" s="27">
        <v>0.212812686</v>
      </c>
      <c r="Q225" s="14"/>
    </row>
    <row r="226" spans="1:17">
      <c r="A226" t="s">
        <v>18</v>
      </c>
      <c r="B226" t="str">
        <f>VLOOKUP(A226,PW!A:C,3,0)</f>
        <v>Th17 cell differenti</v>
      </c>
      <c r="C226" t="str">
        <f t="shared" si="3"/>
        <v>MAPK14-&gt;RORC</v>
      </c>
      <c r="D226" t="s">
        <v>488</v>
      </c>
      <c r="E226" t="s">
        <v>260</v>
      </c>
      <c r="F226" s="27">
        <v>0.27211388600000003</v>
      </c>
      <c r="G226" s="27">
        <v>0.27211388600000003</v>
      </c>
      <c r="H226" s="27">
        <v>4.3160403999999999E-2</v>
      </c>
      <c r="I226" s="27">
        <v>0.33945918000000003</v>
      </c>
    </row>
    <row r="227" spans="1:17">
      <c r="A227" t="s">
        <v>193</v>
      </c>
      <c r="B227" t="str">
        <f>VLOOKUP(A227,PW!A:C,3,0)</f>
        <v>Influenza A</v>
      </c>
      <c r="C227" t="str">
        <f t="shared" si="3"/>
        <v>IRF9-&gt;PML</v>
      </c>
      <c r="D227" t="s">
        <v>489</v>
      </c>
      <c r="E227" t="s">
        <v>490</v>
      </c>
      <c r="F227" s="27">
        <v>0.27104518999999999</v>
      </c>
      <c r="G227" s="27">
        <v>0.27104518999999999</v>
      </c>
      <c r="H227" s="27">
        <v>4.6704570000000003E-3</v>
      </c>
      <c r="I227" s="27">
        <v>0.146219191</v>
      </c>
    </row>
    <row r="228" spans="1:17">
      <c r="A228" t="s">
        <v>104</v>
      </c>
      <c r="B228" t="str">
        <f>VLOOKUP(A228,PW!A:C,3,0)</f>
        <v>Alanine, aspartate</v>
      </c>
      <c r="C228" t="str">
        <f t="shared" si="3"/>
        <v>CAD-&gt;GLUL</v>
      </c>
      <c r="D228" t="s">
        <v>325</v>
      </c>
      <c r="E228" t="s">
        <v>491</v>
      </c>
      <c r="F228" s="27">
        <v>-0.27103384400000002</v>
      </c>
      <c r="G228" s="27">
        <v>0.27103384400000002</v>
      </c>
      <c r="H228" s="27">
        <v>3.8035463999999998E-2</v>
      </c>
      <c r="I228" s="27">
        <v>0.32246170299999999</v>
      </c>
      <c r="Q228" s="13"/>
    </row>
    <row r="229" spans="1:17">
      <c r="A229" t="s">
        <v>156</v>
      </c>
      <c r="B229" t="str">
        <f>VLOOKUP(A229,PW!A:C,3,0)</f>
        <v>Sphingolipid metabol</v>
      </c>
      <c r="C229" t="str">
        <f t="shared" si="3"/>
        <v>GLA-&gt;B4GALT6</v>
      </c>
      <c r="D229" t="s">
        <v>492</v>
      </c>
      <c r="E229" t="s">
        <v>493</v>
      </c>
      <c r="F229" s="27">
        <v>-0.26865249400000002</v>
      </c>
      <c r="G229" s="27">
        <v>0.26865249400000002</v>
      </c>
      <c r="H229" s="27">
        <v>2.2389408999999999E-2</v>
      </c>
      <c r="I229" s="27">
        <v>0.27576993399999999</v>
      </c>
    </row>
    <row r="230" spans="1:17">
      <c r="A230" t="s">
        <v>102</v>
      </c>
      <c r="B230" t="str">
        <f>VLOOKUP(A230,PW!A:C,3,0)</f>
        <v>Pyrimidine metabolism</v>
      </c>
      <c r="C230" t="str">
        <f t="shared" si="3"/>
        <v>CAD-&gt;DHODH</v>
      </c>
      <c r="D230" t="s">
        <v>325</v>
      </c>
      <c r="E230" t="s">
        <v>494</v>
      </c>
      <c r="F230" s="27">
        <v>-0.26773533700000002</v>
      </c>
      <c r="G230" s="27">
        <v>0.26773533700000002</v>
      </c>
      <c r="H230" s="27">
        <v>3.0967053000000001E-2</v>
      </c>
      <c r="I230" s="27">
        <v>0.30674497099999998</v>
      </c>
      <c r="Q230" s="13"/>
    </row>
    <row r="231" spans="1:17">
      <c r="A231" t="s">
        <v>164</v>
      </c>
      <c r="B231" t="str">
        <f>VLOOKUP(A231,PW!A:C,3,0)</f>
        <v xml:space="preserve">Pyruvate metabolism </v>
      </c>
      <c r="C231" t="str">
        <f t="shared" si="3"/>
        <v>ACAT1-&gt;ACACA</v>
      </c>
      <c r="D231" t="s">
        <v>467</v>
      </c>
      <c r="E231" t="s">
        <v>425</v>
      </c>
      <c r="F231" s="27">
        <v>-0.26575912600000001</v>
      </c>
      <c r="G231" s="27">
        <v>0.26575912600000001</v>
      </c>
      <c r="H231" s="27">
        <v>2.3853609999999999E-3</v>
      </c>
      <c r="I231" s="27">
        <v>0.10965939600000001</v>
      </c>
    </row>
    <row r="232" spans="1:17">
      <c r="A232" t="s">
        <v>149</v>
      </c>
      <c r="B232" t="str">
        <f>VLOOKUP(A232,PW!A:C,3,0)</f>
        <v xml:space="preserve">Glycerophospholipid </v>
      </c>
      <c r="C232" t="str">
        <f t="shared" si="3"/>
        <v>LPCAT3-&gt;LYPLA1</v>
      </c>
      <c r="D232" t="s">
        <v>300</v>
      </c>
      <c r="E232" t="s">
        <v>495</v>
      </c>
      <c r="F232" s="27">
        <v>-0.26308029999999999</v>
      </c>
      <c r="G232" s="27">
        <v>0.26308029999999999</v>
      </c>
      <c r="H232" s="27">
        <v>3.9163410000000003E-3</v>
      </c>
      <c r="I232" s="27">
        <v>0.13665022499999999</v>
      </c>
    </row>
    <row r="233" spans="1:17">
      <c r="A233" t="s">
        <v>109</v>
      </c>
      <c r="B233" t="str">
        <f>VLOOKUP(A233,PW!A:C,3,0)</f>
        <v>Valine, leucine</v>
      </c>
      <c r="C233" t="str">
        <f t="shared" si="3"/>
        <v>ALDH6A1-&gt;HIBADH</v>
      </c>
      <c r="D233" t="s">
        <v>412</v>
      </c>
      <c r="E233" t="s">
        <v>496</v>
      </c>
      <c r="F233" s="27">
        <v>-0.26292496599999998</v>
      </c>
      <c r="G233" s="27">
        <v>0.26292496599999998</v>
      </c>
      <c r="H233" s="27">
        <v>9.1180000000000005E-4</v>
      </c>
      <c r="I233" s="27">
        <v>6.2002401999999998E-2</v>
      </c>
    </row>
    <row r="234" spans="1:17">
      <c r="A234" t="s">
        <v>102</v>
      </c>
      <c r="B234" t="str">
        <f>VLOOKUP(A234,PW!A:C,3,0)</f>
        <v>Pyrimidine metabolism</v>
      </c>
      <c r="C234" t="str">
        <f t="shared" si="3"/>
        <v>DUT-&gt;DTYMK</v>
      </c>
      <c r="D234" t="s">
        <v>497</v>
      </c>
      <c r="E234" t="s">
        <v>286</v>
      </c>
      <c r="F234" s="27">
        <v>-0.25836099400000001</v>
      </c>
      <c r="G234" s="27">
        <v>0.25836099400000001</v>
      </c>
      <c r="H234" s="27">
        <v>6.8691020000000002E-3</v>
      </c>
      <c r="I234" s="27">
        <v>0.16607962900000001</v>
      </c>
      <c r="Q234" s="13"/>
    </row>
    <row r="235" spans="1:17">
      <c r="A235" t="s">
        <v>101</v>
      </c>
      <c r="B235" t="str">
        <f>VLOOKUP(A235,PW!A:C,3,0)</f>
        <v>Purine metabolism</v>
      </c>
      <c r="C235" t="str">
        <f t="shared" si="3"/>
        <v>CANT1-&gt;IMPDH1</v>
      </c>
      <c r="D235" t="s">
        <v>432</v>
      </c>
      <c r="E235" t="s">
        <v>399</v>
      </c>
      <c r="F235" s="27">
        <v>-0.25827278199999998</v>
      </c>
      <c r="G235" s="27">
        <v>0.25827278199999998</v>
      </c>
      <c r="H235" s="27">
        <v>4.2411E-4</v>
      </c>
      <c r="I235" s="27">
        <v>4.3259170999999999E-2</v>
      </c>
      <c r="Q235" s="14"/>
    </row>
    <row r="236" spans="1:17">
      <c r="A236" t="s">
        <v>94</v>
      </c>
      <c r="B236" t="str">
        <f>VLOOKUP(A236,PW!A:C,3,0)</f>
        <v>Pentose phosphate</v>
      </c>
      <c r="C236" t="str">
        <f t="shared" si="3"/>
        <v>PGM2-&gt;RBKS</v>
      </c>
      <c r="D236" t="s">
        <v>498</v>
      </c>
      <c r="E236" t="s">
        <v>499</v>
      </c>
      <c r="F236" s="27">
        <v>-0.25744497599999999</v>
      </c>
      <c r="G236" s="27">
        <v>0.25744497599999999</v>
      </c>
      <c r="H236" s="27">
        <v>2.3597416E-2</v>
      </c>
      <c r="I236" s="27">
        <v>0.27805764100000002</v>
      </c>
    </row>
    <row r="237" spans="1:17">
      <c r="A237" t="s">
        <v>162</v>
      </c>
      <c r="B237" t="str">
        <f>VLOOKUP(A237,PW!A:C,3,0)</f>
        <v>Glycosphingolipid bi</v>
      </c>
      <c r="C237" t="str">
        <f t="shared" si="3"/>
        <v>HEXA-&gt;B3GALT4</v>
      </c>
      <c r="D237" t="s">
        <v>500</v>
      </c>
      <c r="E237" t="s">
        <v>501</v>
      </c>
      <c r="F237" s="27">
        <v>0.256600983</v>
      </c>
      <c r="G237" s="27">
        <v>0.256600983</v>
      </c>
      <c r="H237" s="27">
        <v>2.7209127999999999E-2</v>
      </c>
      <c r="I237" s="27">
        <v>0.29035814700000001</v>
      </c>
    </row>
    <row r="238" spans="1:17">
      <c r="A238" t="s">
        <v>138</v>
      </c>
      <c r="B238" t="str">
        <f>VLOOKUP(A238,PW!A:C,3,0)</f>
        <v>Amino sugar and nucleotide</v>
      </c>
      <c r="C238" t="str">
        <f t="shared" si="3"/>
        <v>NAGK-&gt;AMDHD2</v>
      </c>
      <c r="D238" t="s">
        <v>502</v>
      </c>
      <c r="E238" t="s">
        <v>503</v>
      </c>
      <c r="F238" s="27">
        <v>0.25552405500000003</v>
      </c>
      <c r="G238" s="27">
        <v>0.25552405500000003</v>
      </c>
      <c r="H238" s="27">
        <v>4.9224213000000003E-2</v>
      </c>
      <c r="I238" s="27">
        <v>0.35486563799999998</v>
      </c>
    </row>
    <row r="239" spans="1:17">
      <c r="A239" t="s">
        <v>95</v>
      </c>
      <c r="B239" t="str">
        <f>VLOOKUP(A239,PW!A:C,3,0)</f>
        <v>Fructose &amp; mannose</v>
      </c>
      <c r="C239" t="str">
        <f t="shared" si="3"/>
        <v>HK1-&gt;PFKFB1</v>
      </c>
      <c r="D239" t="s">
        <v>504</v>
      </c>
      <c r="E239" t="s">
        <v>505</v>
      </c>
      <c r="F239" s="27">
        <v>-0.25468455200000001</v>
      </c>
      <c r="G239" s="27">
        <v>0.25468455200000001</v>
      </c>
      <c r="H239" s="27">
        <v>3.9714024000000001E-2</v>
      </c>
      <c r="I239" s="27">
        <v>0.32900145800000002</v>
      </c>
      <c r="Q239" s="14"/>
    </row>
    <row r="240" spans="1:17">
      <c r="A240" t="s">
        <v>98</v>
      </c>
      <c r="B240" t="str">
        <f>VLOOKUP(A240,PW!A:C,3,0)</f>
        <v>Fatty acid elongation</v>
      </c>
      <c r="C240" t="str">
        <f t="shared" si="3"/>
        <v>MECR-&gt;PPT1</v>
      </c>
      <c r="D240" t="s">
        <v>506</v>
      </c>
      <c r="E240" t="s">
        <v>507</v>
      </c>
      <c r="F240" s="27">
        <v>0.25328888799999999</v>
      </c>
      <c r="G240" s="27">
        <v>0.25328888799999999</v>
      </c>
      <c r="H240" s="27">
        <v>2.3874703000000001E-2</v>
      </c>
      <c r="I240" s="27">
        <v>0.28031306499999997</v>
      </c>
      <c r="Q240" s="14"/>
    </row>
    <row r="241" spans="1:17">
      <c r="A241" t="s">
        <v>169</v>
      </c>
      <c r="B241" t="str">
        <f>VLOOKUP(A241,PW!A:C,3,0)</f>
        <v>Pathways in cancer</v>
      </c>
      <c r="C241" t="str">
        <f t="shared" si="3"/>
        <v>CEBPA-&gt;MYC</v>
      </c>
      <c r="D241" t="s">
        <v>508</v>
      </c>
      <c r="E241" t="s">
        <v>509</v>
      </c>
      <c r="F241" s="27">
        <v>0.253288348</v>
      </c>
      <c r="G241" s="27">
        <v>0.253288348</v>
      </c>
      <c r="H241" s="27">
        <v>1.0190421E-2</v>
      </c>
      <c r="I241" s="27">
        <v>0.20788459000000001</v>
      </c>
    </row>
    <row r="242" spans="1:17">
      <c r="A242" t="s">
        <v>194</v>
      </c>
      <c r="B242" t="str">
        <f>VLOOKUP(A242,PW!A:C,3,0)</f>
        <v>Insulin resistance g</v>
      </c>
      <c r="C242" t="str">
        <f t="shared" si="3"/>
        <v>MLXIP-&gt;ACACB</v>
      </c>
      <c r="D242" t="s">
        <v>510</v>
      </c>
      <c r="E242" t="s">
        <v>511</v>
      </c>
      <c r="F242" s="27">
        <v>0.25288029400000001</v>
      </c>
      <c r="G242" s="27">
        <v>0.25288029400000001</v>
      </c>
      <c r="H242" s="27">
        <v>2.3252825000000001E-2</v>
      </c>
      <c r="I242" s="27">
        <v>0.27767641399999998</v>
      </c>
    </row>
    <row r="243" spans="1:17">
      <c r="A243" t="s">
        <v>134</v>
      </c>
      <c r="B243" t="str">
        <f>VLOOKUP(A243,PW!A:C,3,0)</f>
        <v>Various types of N‑glycan</v>
      </c>
      <c r="C243" t="str">
        <f t="shared" si="3"/>
        <v>B4GALT1-&gt;ST3GAL3</v>
      </c>
      <c r="D243" t="s">
        <v>278</v>
      </c>
      <c r="E243" t="s">
        <v>512</v>
      </c>
      <c r="F243" s="27">
        <v>0.24952048099999999</v>
      </c>
      <c r="G243" s="27">
        <v>0.24952048099999999</v>
      </c>
      <c r="H243" s="27">
        <v>5.6014949999999997E-3</v>
      </c>
      <c r="I243" s="27">
        <v>0.16179893200000001</v>
      </c>
    </row>
    <row r="244" spans="1:17">
      <c r="A244" t="s">
        <v>136</v>
      </c>
      <c r="B244" t="str">
        <f>VLOOKUP(A244,PW!A:C,3,0)</f>
        <v>Mannose‑type O‑glycan</v>
      </c>
      <c r="C244" t="str">
        <f t="shared" si="3"/>
        <v>B4GALT1-&gt;ST3GAL3</v>
      </c>
      <c r="D244" t="s">
        <v>278</v>
      </c>
      <c r="E244" t="s">
        <v>512</v>
      </c>
      <c r="F244" s="27">
        <v>0.24952048099999999</v>
      </c>
      <c r="G244" s="27">
        <v>0.24952048099999999</v>
      </c>
      <c r="H244" s="27">
        <v>5.6014949999999997E-3</v>
      </c>
      <c r="I244" s="27">
        <v>0.16179893200000001</v>
      </c>
    </row>
    <row r="245" spans="1:17">
      <c r="A245" t="s">
        <v>166</v>
      </c>
      <c r="B245" t="str">
        <f>VLOOKUP(A245,PW!A:C,3,0)</f>
        <v>Propanoate metabolis</v>
      </c>
      <c r="C245" t="str">
        <f t="shared" si="3"/>
        <v>ALDH6A1-&gt;ACSS2</v>
      </c>
      <c r="D245" t="s">
        <v>412</v>
      </c>
      <c r="E245" t="s">
        <v>298</v>
      </c>
      <c r="F245" s="27">
        <v>0.249342227</v>
      </c>
      <c r="G245" s="27">
        <v>0.249342227</v>
      </c>
      <c r="H245" s="27">
        <v>5.3725780000000002E-3</v>
      </c>
      <c r="I245" s="27">
        <v>0.15941903900000001</v>
      </c>
    </row>
    <row r="246" spans="1:17">
      <c r="A246" t="s">
        <v>169</v>
      </c>
      <c r="B246" t="str">
        <f>VLOOKUP(A246,PW!A:C,3,0)</f>
        <v>Pathways in cancer</v>
      </c>
      <c r="C246" t="str">
        <f t="shared" si="3"/>
        <v>RPS6KA5-&gt;MYC</v>
      </c>
      <c r="D246" t="s">
        <v>513</v>
      </c>
      <c r="E246" t="s">
        <v>509</v>
      </c>
      <c r="F246" s="27">
        <v>-0.24832611600000001</v>
      </c>
      <c r="G246" s="27">
        <v>0.24832611600000001</v>
      </c>
      <c r="H246" s="27">
        <v>5.6736460000000001E-3</v>
      </c>
      <c r="I246" s="27">
        <v>0.162445435</v>
      </c>
    </row>
    <row r="247" spans="1:17">
      <c r="A247" t="s">
        <v>109</v>
      </c>
      <c r="B247" t="str">
        <f>VLOOKUP(A247,PW!A:C,3,0)</f>
        <v>Valine, leucine</v>
      </c>
      <c r="C247" t="str">
        <f t="shared" si="3"/>
        <v>AACS-&gt;ACAT1</v>
      </c>
      <c r="D247" t="s">
        <v>514</v>
      </c>
      <c r="E247" t="s">
        <v>467</v>
      </c>
      <c r="F247" s="27">
        <v>-0.24812582699999999</v>
      </c>
      <c r="G247" s="27">
        <v>0.24812582699999999</v>
      </c>
      <c r="H247" s="27">
        <v>1.42907E-2</v>
      </c>
      <c r="I247" s="27">
        <v>0.22977756199999999</v>
      </c>
    </row>
    <row r="248" spans="1:17">
      <c r="A248" t="s">
        <v>168</v>
      </c>
      <c r="B248" t="str">
        <f>VLOOKUP(A248,PW!A:C,3,0)</f>
        <v>Butanoate metabolism</v>
      </c>
      <c r="C248" t="str">
        <f t="shared" si="3"/>
        <v>AACS-&gt;ACAT1</v>
      </c>
      <c r="D248" t="s">
        <v>514</v>
      </c>
      <c r="E248" t="s">
        <v>467</v>
      </c>
      <c r="F248" s="27">
        <v>-0.24812582699999999</v>
      </c>
      <c r="G248" s="27">
        <v>0.24812582699999999</v>
      </c>
      <c r="H248" s="27">
        <v>1.42907E-2</v>
      </c>
      <c r="I248" s="27">
        <v>0.22977756199999999</v>
      </c>
    </row>
    <row r="249" spans="1:17">
      <c r="A249" t="s">
        <v>149</v>
      </c>
      <c r="B249" t="str">
        <f>VLOOKUP(A249,PW!A:C,3,0)</f>
        <v xml:space="preserve">Glycerophospholipid </v>
      </c>
      <c r="C249" t="str">
        <f t="shared" si="3"/>
        <v>LYPLA1-&gt;LPCAT3</v>
      </c>
      <c r="D249" t="s">
        <v>495</v>
      </c>
      <c r="E249" t="s">
        <v>300</v>
      </c>
      <c r="F249" s="27">
        <v>-0.24807383699999999</v>
      </c>
      <c r="G249" s="27">
        <v>0.24807383699999999</v>
      </c>
      <c r="H249" s="27">
        <v>1.2603735E-2</v>
      </c>
      <c r="I249" s="27">
        <v>0.22281664500000001</v>
      </c>
    </row>
    <row r="250" spans="1:17">
      <c r="A250" t="s">
        <v>94</v>
      </c>
      <c r="B250" t="str">
        <f>VLOOKUP(A250,PW!A:C,3,0)</f>
        <v>Pentose phosphate</v>
      </c>
      <c r="C250" t="str">
        <f t="shared" si="3"/>
        <v>TKT-&gt;FBP1</v>
      </c>
      <c r="D250" t="s">
        <v>460</v>
      </c>
      <c r="E250" t="s">
        <v>349</v>
      </c>
      <c r="F250" s="27">
        <v>-0.24595028799999999</v>
      </c>
      <c r="G250" s="27">
        <v>0.24595028799999999</v>
      </c>
      <c r="H250" s="27">
        <v>4.8654856000000003E-2</v>
      </c>
      <c r="I250" s="27">
        <v>0.35486563799999998</v>
      </c>
    </row>
    <row r="251" spans="1:17">
      <c r="A251" t="s">
        <v>180</v>
      </c>
      <c r="B251" t="str">
        <f>VLOOKUP(A251,PW!A:C,3,0)</f>
        <v>Sulfur metabolism</v>
      </c>
      <c r="C251" t="str">
        <f t="shared" si="3"/>
        <v>ETHE1-&gt;MPST</v>
      </c>
      <c r="D251" t="s">
        <v>515</v>
      </c>
      <c r="E251" t="s">
        <v>516</v>
      </c>
      <c r="F251" s="27">
        <v>-0.24355532799999999</v>
      </c>
      <c r="G251" s="27">
        <v>0.24355532799999999</v>
      </c>
      <c r="H251" s="27">
        <v>2.0519102000000001E-2</v>
      </c>
      <c r="I251" s="27">
        <v>0.25818887899999998</v>
      </c>
    </row>
    <row r="252" spans="1:17">
      <c r="A252" t="s">
        <v>104</v>
      </c>
      <c r="B252" t="str">
        <f>VLOOKUP(A252,PW!A:C,3,0)</f>
        <v>Alanine, aspartate</v>
      </c>
      <c r="C252" t="str">
        <f t="shared" si="3"/>
        <v>NIT2-&gt;IL4I1</v>
      </c>
      <c r="D252" t="s">
        <v>517</v>
      </c>
      <c r="E252" t="s">
        <v>518</v>
      </c>
      <c r="F252" s="27">
        <v>-0.243395371</v>
      </c>
      <c r="G252" s="27">
        <v>0.243395371</v>
      </c>
      <c r="H252" s="27">
        <v>1.9763785999999998E-2</v>
      </c>
      <c r="I252" s="27">
        <v>0.25598808299999998</v>
      </c>
      <c r="Q252" s="13"/>
    </row>
    <row r="253" spans="1:17">
      <c r="A253" t="s">
        <v>138</v>
      </c>
      <c r="B253" t="str">
        <f>VLOOKUP(A253,PW!A:C,3,0)</f>
        <v>Amino sugar and nucleotide</v>
      </c>
      <c r="C253" t="str">
        <f t="shared" si="3"/>
        <v>NAGK-&gt;RENBP</v>
      </c>
      <c r="D253" t="s">
        <v>502</v>
      </c>
      <c r="E253" t="s">
        <v>519</v>
      </c>
      <c r="F253" s="27">
        <v>0.241942237</v>
      </c>
      <c r="G253" s="27">
        <v>0.241942237</v>
      </c>
      <c r="H253" s="27">
        <v>7.9375230000000001E-3</v>
      </c>
      <c r="I253" s="27">
        <v>0.178676377</v>
      </c>
    </row>
    <row r="254" spans="1:17">
      <c r="A254" t="s">
        <v>148</v>
      </c>
      <c r="B254" t="str">
        <f>VLOOKUP(A254,PW!A:C,3,0)</f>
        <v>Inositol phosphate m</v>
      </c>
      <c r="C254" t="str">
        <f t="shared" si="3"/>
        <v>PIK3C2A-&gt;INPP4A</v>
      </c>
      <c r="D254" t="s">
        <v>520</v>
      </c>
      <c r="E254" t="s">
        <v>479</v>
      </c>
      <c r="F254" s="27">
        <v>0.24165489200000001</v>
      </c>
      <c r="G254" s="27">
        <v>0.24165489200000001</v>
      </c>
      <c r="H254" s="27">
        <v>3.8427240000000001E-2</v>
      </c>
      <c r="I254" s="27">
        <v>0.32409951399999998</v>
      </c>
    </row>
    <row r="255" spans="1:17">
      <c r="A255" t="s">
        <v>94</v>
      </c>
      <c r="B255" t="str">
        <f>VLOOKUP(A255,PW!A:C,3,0)</f>
        <v>Pentose phosphate</v>
      </c>
      <c r="C255" t="str">
        <f t="shared" si="3"/>
        <v>RBKS-&gt;PGM2</v>
      </c>
      <c r="D255" t="s">
        <v>499</v>
      </c>
      <c r="E255" t="s">
        <v>498</v>
      </c>
      <c r="F255" s="27">
        <v>-0.240345157</v>
      </c>
      <c r="G255" s="27">
        <v>0.240345157</v>
      </c>
      <c r="H255" s="27">
        <v>2.8188733000000001E-2</v>
      </c>
      <c r="I255" s="27">
        <v>0.29116463300000001</v>
      </c>
    </row>
    <row r="256" spans="1:17">
      <c r="A256" t="s">
        <v>134</v>
      </c>
      <c r="B256" t="str">
        <f>VLOOKUP(A256,PW!A:C,3,0)</f>
        <v>Various types of N‑glycan</v>
      </c>
      <c r="C256" t="str">
        <f t="shared" si="3"/>
        <v>B4GALNT3-&gt;CHST8</v>
      </c>
      <c r="D256" t="s">
        <v>521</v>
      </c>
      <c r="E256" t="s">
        <v>522</v>
      </c>
      <c r="F256" s="27">
        <v>0.238104554</v>
      </c>
      <c r="G256" s="27">
        <v>0.238104554</v>
      </c>
      <c r="H256" s="27">
        <v>3.9547091999999999E-2</v>
      </c>
      <c r="I256" s="27">
        <v>0.32892196000000001</v>
      </c>
    </row>
    <row r="257" spans="1:17">
      <c r="A257" t="s">
        <v>94</v>
      </c>
      <c r="B257" t="str">
        <f>VLOOKUP(A257,PW!A:C,3,0)</f>
        <v>Pentose phosphate</v>
      </c>
      <c r="C257" t="str">
        <f t="shared" si="3"/>
        <v>TKT-&gt;PFKL</v>
      </c>
      <c r="D257" t="s">
        <v>460</v>
      </c>
      <c r="E257" t="s">
        <v>444</v>
      </c>
      <c r="F257" s="27">
        <v>0.23773491999999999</v>
      </c>
      <c r="G257" s="27">
        <v>0.23773491999999999</v>
      </c>
      <c r="H257" s="27">
        <v>1.4088391E-2</v>
      </c>
      <c r="I257" s="27">
        <v>0.22977756199999999</v>
      </c>
    </row>
    <row r="258" spans="1:17">
      <c r="A258" t="s">
        <v>173</v>
      </c>
      <c r="B258" t="str">
        <f>VLOOKUP(A258,PW!A:C,3,0)</f>
        <v>p53 signaling pathwa</v>
      </c>
      <c r="C258" t="str">
        <f t="shared" ref="C258:C321" si="4">D258&amp;"-&gt;"&amp;E258</f>
        <v>TP53-&gt;COP1</v>
      </c>
      <c r="D258" t="s">
        <v>315</v>
      </c>
      <c r="E258" t="s">
        <v>523</v>
      </c>
      <c r="F258" s="27">
        <v>-0.237343785</v>
      </c>
      <c r="G258" s="27">
        <v>0.237343785</v>
      </c>
      <c r="H258" s="27">
        <v>5.0795300000000001E-4</v>
      </c>
      <c r="I258" s="27">
        <v>4.6054382999999997E-2</v>
      </c>
    </row>
    <row r="259" spans="1:17">
      <c r="A259" t="s">
        <v>166</v>
      </c>
      <c r="B259" t="str">
        <f>VLOOKUP(A259,PW!A:C,3,0)</f>
        <v>Propanoate metabolis</v>
      </c>
      <c r="C259" t="str">
        <f t="shared" si="4"/>
        <v>ALDH6A1-&gt;ACACA</v>
      </c>
      <c r="D259" t="s">
        <v>412</v>
      </c>
      <c r="E259" t="s">
        <v>425</v>
      </c>
      <c r="F259" s="27">
        <v>-0.23727932400000001</v>
      </c>
      <c r="G259" s="27">
        <v>0.23727932400000001</v>
      </c>
      <c r="H259" s="27">
        <v>1.144349E-3</v>
      </c>
      <c r="I259" s="27">
        <v>7.1189126000000005E-2</v>
      </c>
    </row>
    <row r="260" spans="1:17">
      <c r="A260" t="s">
        <v>105</v>
      </c>
      <c r="B260" t="str">
        <f>VLOOKUP(A260,PW!A:C,3,0)</f>
        <v>Glycine, serine</v>
      </c>
      <c r="C260" t="str">
        <f t="shared" si="4"/>
        <v>GAMT-&gt;GATM</v>
      </c>
      <c r="D260" t="s">
        <v>524</v>
      </c>
      <c r="E260" t="s">
        <v>525</v>
      </c>
      <c r="F260" s="27">
        <v>0.23616478399999999</v>
      </c>
      <c r="G260" s="27">
        <v>0.23616478399999999</v>
      </c>
      <c r="H260" s="27">
        <v>1.8813258999999999E-2</v>
      </c>
      <c r="I260" s="27">
        <v>0.25378521500000001</v>
      </c>
      <c r="Q260" s="13"/>
    </row>
    <row r="261" spans="1:17">
      <c r="A261" t="s">
        <v>113</v>
      </c>
      <c r="B261" t="str">
        <f>VLOOKUP(A261,PW!A:C,3,0)</f>
        <v>Arginine and proline</v>
      </c>
      <c r="C261" t="str">
        <f t="shared" si="4"/>
        <v>GAMT-&gt;GATM</v>
      </c>
      <c r="D261" t="s">
        <v>524</v>
      </c>
      <c r="E261" t="s">
        <v>525</v>
      </c>
      <c r="F261" s="27">
        <v>0.23616478399999999</v>
      </c>
      <c r="G261" s="27">
        <v>0.23616478399999999</v>
      </c>
      <c r="H261" s="27">
        <v>1.8813258999999999E-2</v>
      </c>
      <c r="I261" s="27">
        <v>0.25378521500000001</v>
      </c>
    </row>
    <row r="262" spans="1:17">
      <c r="A262" t="s">
        <v>138</v>
      </c>
      <c r="B262" t="str">
        <f>VLOOKUP(A262,PW!A:C,3,0)</f>
        <v>Amino sugar and nucleotide</v>
      </c>
      <c r="C262" t="str">
        <f t="shared" si="4"/>
        <v>GNPDA1-&gt;GPI</v>
      </c>
      <c r="D262" t="s">
        <v>526</v>
      </c>
      <c r="E262" t="s">
        <v>527</v>
      </c>
      <c r="F262" s="27">
        <v>-0.23142110900000001</v>
      </c>
      <c r="G262" s="27">
        <v>0.23142110900000001</v>
      </c>
      <c r="H262" s="27">
        <v>4.4679165999999999E-2</v>
      </c>
      <c r="I262" s="27">
        <v>0.34012037499999997</v>
      </c>
    </row>
    <row r="263" spans="1:17">
      <c r="A263" t="s">
        <v>119</v>
      </c>
      <c r="B263" t="str">
        <f>VLOOKUP(A263,PW!A:C,3,0)</f>
        <v>Tryptophan metabolism</v>
      </c>
      <c r="C263" t="str">
        <f t="shared" si="4"/>
        <v>HAAO-&gt;KYNU</v>
      </c>
      <c r="D263" t="s">
        <v>528</v>
      </c>
      <c r="E263" t="s">
        <v>529</v>
      </c>
      <c r="F263" s="27">
        <v>-0.231354961</v>
      </c>
      <c r="G263" s="27">
        <v>0.231354961</v>
      </c>
      <c r="H263" s="27">
        <v>1.4191738000000001E-2</v>
      </c>
      <c r="I263" s="27">
        <v>0.22977756199999999</v>
      </c>
    </row>
    <row r="264" spans="1:17">
      <c r="A264" t="s">
        <v>156</v>
      </c>
      <c r="B264" t="str">
        <f>VLOOKUP(A264,PW!A:C,3,0)</f>
        <v>Sphingolipid metabol</v>
      </c>
      <c r="C264" t="str">
        <f t="shared" si="4"/>
        <v>SGMS2-&gt;PLPP1</v>
      </c>
      <c r="D264" t="s">
        <v>530</v>
      </c>
      <c r="E264" t="s">
        <v>321</v>
      </c>
      <c r="F264" s="27">
        <v>0.23024134399999999</v>
      </c>
      <c r="G264" s="27">
        <v>0.23024134399999999</v>
      </c>
      <c r="H264" s="27">
        <v>4.9479165999999998E-2</v>
      </c>
      <c r="I264" s="27">
        <v>0.35486563799999998</v>
      </c>
    </row>
    <row r="265" spans="1:17">
      <c r="A265" t="s">
        <v>111</v>
      </c>
      <c r="B265" t="str">
        <f>VLOOKUP(A265,PW!A:C,3,0)</f>
        <v>Lysine degradation</v>
      </c>
      <c r="C265" t="str">
        <f t="shared" si="4"/>
        <v>DHTKD1-&gt;DLD</v>
      </c>
      <c r="D265" t="s">
        <v>449</v>
      </c>
      <c r="E265" t="s">
        <v>448</v>
      </c>
      <c r="F265" s="27">
        <v>-0.23021704300000001</v>
      </c>
      <c r="G265" s="27">
        <v>0.23021704300000001</v>
      </c>
      <c r="H265" s="27">
        <v>3.27845E-4</v>
      </c>
      <c r="I265" s="27">
        <v>4.2726105E-2</v>
      </c>
    </row>
    <row r="266" spans="1:17">
      <c r="A266" t="s">
        <v>129</v>
      </c>
      <c r="B266" t="str">
        <f>VLOOKUP(A266,PW!A:C,3,0)</f>
        <v>IL‑17 signaling path</v>
      </c>
      <c r="C266" t="str">
        <f t="shared" si="4"/>
        <v>FOS-&gt;PTGS2</v>
      </c>
      <c r="D266" t="s">
        <v>319</v>
      </c>
      <c r="E266" t="s">
        <v>531</v>
      </c>
      <c r="F266" s="27">
        <v>-0.227893489</v>
      </c>
      <c r="G266" s="27">
        <v>0.227893489</v>
      </c>
      <c r="H266" s="27">
        <v>2.4672761000000001E-2</v>
      </c>
      <c r="I266" s="27">
        <v>0.28557408499999998</v>
      </c>
    </row>
    <row r="267" spans="1:17">
      <c r="A267" t="s">
        <v>130</v>
      </c>
      <c r="B267" t="str">
        <f>VLOOKUP(A267,PW!A:C,3,0)</f>
        <v>N‑Glycan biosynthesis</v>
      </c>
      <c r="C267" t="str">
        <f t="shared" si="4"/>
        <v>DOLPP1-&gt;DPAGT1</v>
      </c>
      <c r="D267" t="s">
        <v>416</v>
      </c>
      <c r="E267" t="s">
        <v>532</v>
      </c>
      <c r="F267" s="27">
        <v>-0.227188581</v>
      </c>
      <c r="G267" s="27">
        <v>0.227188581</v>
      </c>
      <c r="H267" s="27">
        <v>4.58939E-4</v>
      </c>
      <c r="I267" s="27">
        <v>4.5118211999999998E-2</v>
      </c>
    </row>
    <row r="268" spans="1:17">
      <c r="A268" t="s">
        <v>188</v>
      </c>
      <c r="B268" t="str">
        <f>VLOOKUP(A268,PW!A:C,3,0)</f>
        <v>Hedgehog signaling p</v>
      </c>
      <c r="C268" t="str">
        <f t="shared" si="4"/>
        <v>GLI1-&gt;CCND1</v>
      </c>
      <c r="D268" t="s">
        <v>533</v>
      </c>
      <c r="E268" t="s">
        <v>259</v>
      </c>
      <c r="F268" s="27">
        <v>-0.22680333499999999</v>
      </c>
      <c r="G268" s="27">
        <v>0.22680333499999999</v>
      </c>
      <c r="H268" s="27">
        <v>1.8988194999999999E-2</v>
      </c>
      <c r="I268" s="27">
        <v>0.25378521500000001</v>
      </c>
    </row>
    <row r="269" spans="1:17">
      <c r="A269" t="s">
        <v>188</v>
      </c>
      <c r="B269" t="str">
        <f>VLOOKUP(A269,PW!A:C,3,0)</f>
        <v>Hedgehog signaling p</v>
      </c>
      <c r="C269" t="str">
        <f t="shared" si="4"/>
        <v>GLI1-&gt;CCND1</v>
      </c>
      <c r="D269" t="s">
        <v>533</v>
      </c>
      <c r="E269" t="s">
        <v>259</v>
      </c>
      <c r="F269" s="27">
        <v>-0.22680333499999999</v>
      </c>
      <c r="G269" s="27">
        <v>0.22680333499999999</v>
      </c>
      <c r="H269" s="27">
        <v>1.8988194999999999E-2</v>
      </c>
      <c r="I269" s="27">
        <v>0.25378521500000001</v>
      </c>
    </row>
    <row r="270" spans="1:17">
      <c r="A270" t="s">
        <v>177</v>
      </c>
      <c r="B270" t="str">
        <f>VLOOKUP(A270,PW!A:C,3,0)</f>
        <v>Porphyrin and chloro</v>
      </c>
      <c r="C270" t="str">
        <f t="shared" si="4"/>
        <v>UROD-&gt;UROS</v>
      </c>
      <c r="D270" t="s">
        <v>534</v>
      </c>
      <c r="E270" t="s">
        <v>535</v>
      </c>
      <c r="F270" s="27">
        <v>-0.22679002300000001</v>
      </c>
      <c r="G270" s="27">
        <v>0.22679002300000001</v>
      </c>
      <c r="H270" s="27">
        <v>7.0597580000000002E-3</v>
      </c>
      <c r="I270" s="27">
        <v>0.16943419000000001</v>
      </c>
    </row>
    <row r="271" spans="1:17">
      <c r="A271" t="s">
        <v>18</v>
      </c>
      <c r="B271" t="str">
        <f>VLOOKUP(A271,PW!A:C,3,0)</f>
        <v>Th17 cell differenti</v>
      </c>
      <c r="C271" t="str">
        <f t="shared" si="4"/>
        <v>GATA3-&gt;RORC</v>
      </c>
      <c r="D271" t="s">
        <v>328</v>
      </c>
      <c r="E271" t="s">
        <v>260</v>
      </c>
      <c r="F271" s="27">
        <v>-0.22626385700000001</v>
      </c>
      <c r="G271" s="27">
        <v>0.22626385700000001</v>
      </c>
      <c r="H271" s="27">
        <v>3.0887723999999998E-2</v>
      </c>
      <c r="I271" s="27">
        <v>0.30674497099999998</v>
      </c>
    </row>
    <row r="272" spans="1:17">
      <c r="A272" t="s">
        <v>168</v>
      </c>
      <c r="B272" t="str">
        <f>VLOOKUP(A272,PW!A:C,3,0)</f>
        <v>Butanoate metabolism</v>
      </c>
      <c r="C272" t="str">
        <f t="shared" si="4"/>
        <v>BDH1-&gt;OXCT1</v>
      </c>
      <c r="D272" t="s">
        <v>536</v>
      </c>
      <c r="E272" t="s">
        <v>483</v>
      </c>
      <c r="F272" s="27">
        <v>-0.225923189</v>
      </c>
      <c r="G272" s="27">
        <v>0.225923189</v>
      </c>
      <c r="H272" s="27">
        <v>5.7879530000000002E-3</v>
      </c>
      <c r="I272" s="27">
        <v>0.16427719299999999</v>
      </c>
    </row>
    <row r="273" spans="1:17">
      <c r="A273" t="s">
        <v>97</v>
      </c>
      <c r="B273" t="str">
        <f>VLOOKUP(A273,PW!A:C,3,0)</f>
        <v>Fatty acid biosynthesis</v>
      </c>
      <c r="C273" t="str">
        <f t="shared" si="4"/>
        <v>OXSM-&gt;MECR</v>
      </c>
      <c r="D273" t="s">
        <v>394</v>
      </c>
      <c r="E273" t="s">
        <v>506</v>
      </c>
      <c r="F273" s="27">
        <v>-0.22541512799999999</v>
      </c>
      <c r="G273" s="27">
        <v>0.22541512799999999</v>
      </c>
      <c r="H273" s="27">
        <v>2.6053291999999999E-2</v>
      </c>
      <c r="I273" s="27">
        <v>0.29035814700000001</v>
      </c>
      <c r="Q273" s="14"/>
    </row>
    <row r="274" spans="1:17">
      <c r="A274" t="s">
        <v>169</v>
      </c>
      <c r="B274" t="str">
        <f>VLOOKUP(A274,PW!A:C,3,0)</f>
        <v>Pathways in cancer</v>
      </c>
      <c r="C274" t="str">
        <f t="shared" si="4"/>
        <v>SPI1-&gt;CSF3R</v>
      </c>
      <c r="D274" t="s">
        <v>537</v>
      </c>
      <c r="E274" t="s">
        <v>538</v>
      </c>
      <c r="F274" s="27">
        <v>-0.224947011</v>
      </c>
      <c r="G274" s="27">
        <v>0.224947011</v>
      </c>
      <c r="H274" s="27">
        <v>2.622966E-3</v>
      </c>
      <c r="I274" s="27">
        <v>0.11415148999999999</v>
      </c>
    </row>
    <row r="275" spans="1:17">
      <c r="A275" t="s">
        <v>94</v>
      </c>
      <c r="B275" t="str">
        <f>VLOOKUP(A275,PW!A:C,3,0)</f>
        <v>Pentose phosphate</v>
      </c>
      <c r="C275" t="str">
        <f t="shared" si="4"/>
        <v>FBP1-&gt;TALDO1</v>
      </c>
      <c r="D275" t="s">
        <v>349</v>
      </c>
      <c r="E275" t="s">
        <v>539</v>
      </c>
      <c r="F275" s="27">
        <v>-0.223077471</v>
      </c>
      <c r="G275" s="27">
        <v>0.223077471</v>
      </c>
      <c r="H275" s="27">
        <v>1.3448804E-2</v>
      </c>
      <c r="I275" s="27">
        <v>0.22437264500000001</v>
      </c>
    </row>
    <row r="276" spans="1:17">
      <c r="A276" t="s">
        <v>197</v>
      </c>
      <c r="B276" t="str">
        <f>VLOOKUP(A276,PW!A:C,3,0)</f>
        <v>Central carbon metab</v>
      </c>
      <c r="C276" t="str">
        <f t="shared" si="4"/>
        <v>MYC-&gt;PKM</v>
      </c>
      <c r="D276" t="s">
        <v>509</v>
      </c>
      <c r="E276" t="s">
        <v>540</v>
      </c>
      <c r="F276" s="27">
        <v>0.222451759</v>
      </c>
      <c r="G276" s="27">
        <v>0.222451759</v>
      </c>
      <c r="H276" s="27">
        <v>2.0743159000000001E-2</v>
      </c>
      <c r="I276" s="27">
        <v>0.25841858699999998</v>
      </c>
    </row>
    <row r="277" spans="1:17">
      <c r="A277" t="s">
        <v>149</v>
      </c>
      <c r="B277" t="str">
        <f>VLOOKUP(A277,PW!A:C,3,0)</f>
        <v xml:space="preserve">Glycerophospholipid </v>
      </c>
      <c r="C277" t="str">
        <f t="shared" si="4"/>
        <v>PTDSS2-&gt;LPCAT3</v>
      </c>
      <c r="D277" t="s">
        <v>541</v>
      </c>
      <c r="E277" t="s">
        <v>300</v>
      </c>
      <c r="F277" s="27">
        <v>0.222349033</v>
      </c>
      <c r="G277" s="27">
        <v>0.222349033</v>
      </c>
      <c r="H277" s="27">
        <v>3.6119678000000002E-2</v>
      </c>
      <c r="I277" s="27">
        <v>0.31522627800000003</v>
      </c>
    </row>
    <row r="278" spans="1:17">
      <c r="A278" t="s">
        <v>148</v>
      </c>
      <c r="B278" t="str">
        <f>VLOOKUP(A278,PW!A:C,3,0)</f>
        <v>Inositol phosphate m</v>
      </c>
      <c r="C278" t="str">
        <f t="shared" si="4"/>
        <v>INPP4A-&gt;PIK3C3</v>
      </c>
      <c r="D278" t="s">
        <v>479</v>
      </c>
      <c r="E278" t="s">
        <v>542</v>
      </c>
      <c r="F278" s="27">
        <v>-0.22202572500000001</v>
      </c>
      <c r="G278" s="27">
        <v>0.22202572500000001</v>
      </c>
      <c r="H278" s="27">
        <v>3.2100393999999997E-2</v>
      </c>
      <c r="I278" s="27">
        <v>0.30674497099999998</v>
      </c>
    </row>
    <row r="279" spans="1:17">
      <c r="A279" t="s">
        <v>178</v>
      </c>
      <c r="B279" t="str">
        <f>VLOOKUP(A279,PW!A:C,3,0)</f>
        <v>Terpenoid backbone b</v>
      </c>
      <c r="C279" t="str">
        <f t="shared" si="4"/>
        <v>RCE1-&gt;CHURC1-FNTB</v>
      </c>
      <c r="D279" t="s">
        <v>543</v>
      </c>
      <c r="E279" t="s">
        <v>406</v>
      </c>
      <c r="F279" s="27">
        <v>0.221689944</v>
      </c>
      <c r="G279" s="27">
        <v>0.221689944</v>
      </c>
      <c r="H279" s="27">
        <v>1.0772594E-2</v>
      </c>
      <c r="I279" s="27">
        <v>0.208057667</v>
      </c>
    </row>
    <row r="280" spans="1:17">
      <c r="A280" t="s">
        <v>164</v>
      </c>
      <c r="B280" t="str">
        <f>VLOOKUP(A280,PW!A:C,3,0)</f>
        <v xml:space="preserve">Pyruvate metabolism </v>
      </c>
      <c r="C280" t="str">
        <f t="shared" si="4"/>
        <v>ACSS2-&gt;ACACA</v>
      </c>
      <c r="D280" t="s">
        <v>298</v>
      </c>
      <c r="E280" t="s">
        <v>425</v>
      </c>
      <c r="F280" s="27">
        <v>0.220712461</v>
      </c>
      <c r="G280" s="27">
        <v>0.220712461</v>
      </c>
      <c r="H280" s="27">
        <v>1.1629230000000001E-2</v>
      </c>
      <c r="I280" s="27">
        <v>0.21814830800000001</v>
      </c>
    </row>
    <row r="281" spans="1:17">
      <c r="A281" t="s">
        <v>92</v>
      </c>
      <c r="B281" t="str">
        <f>VLOOKUP(A281,PW!A:C,3,0)</f>
        <v>Glycolysis</v>
      </c>
      <c r="C281" t="str">
        <f t="shared" si="4"/>
        <v>ALDOA-&gt;GAPDH</v>
      </c>
      <c r="D281" t="s">
        <v>443</v>
      </c>
      <c r="E281" t="s">
        <v>544</v>
      </c>
      <c r="F281" s="27">
        <v>-0.22067289900000001</v>
      </c>
      <c r="G281" s="27">
        <v>0.22067289900000001</v>
      </c>
      <c r="H281" s="27">
        <v>3.9552160000000001E-3</v>
      </c>
      <c r="I281" s="27">
        <v>0.13665022499999999</v>
      </c>
    </row>
    <row r="282" spans="1:17">
      <c r="A282" t="s">
        <v>203</v>
      </c>
      <c r="B282" t="str">
        <f>VLOOKUP(A282,PW!A:C,3,0)</f>
        <v>African trypanosomia</v>
      </c>
      <c r="C282" t="str">
        <f t="shared" si="4"/>
        <v>TNF-&gt;ICAM1</v>
      </c>
      <c r="D282" t="s">
        <v>478</v>
      </c>
      <c r="E282" t="s">
        <v>474</v>
      </c>
      <c r="F282" s="27">
        <v>-0.21978260299999999</v>
      </c>
      <c r="G282" s="27">
        <v>0.21978260299999999</v>
      </c>
      <c r="H282" s="27">
        <v>4.2088357999999999E-2</v>
      </c>
      <c r="I282" s="27">
        <v>0.33670686100000002</v>
      </c>
    </row>
    <row r="283" spans="1:17">
      <c r="A283" t="s">
        <v>130</v>
      </c>
      <c r="B283" t="str">
        <f>VLOOKUP(A283,PW!A:C,3,0)</f>
        <v>N‑Glycan biosynthesis</v>
      </c>
      <c r="C283" t="str">
        <f t="shared" si="4"/>
        <v>B4GALT1-&gt;ST6GAL1</v>
      </c>
      <c r="D283" t="s">
        <v>278</v>
      </c>
      <c r="E283" t="s">
        <v>545</v>
      </c>
      <c r="F283" s="27">
        <v>0.21951641499999999</v>
      </c>
      <c r="G283" s="27">
        <v>0.21951641499999999</v>
      </c>
      <c r="H283" s="27">
        <v>4.9607525E-2</v>
      </c>
      <c r="I283" s="27">
        <v>0.35486563799999998</v>
      </c>
    </row>
    <row r="284" spans="1:17">
      <c r="A284" t="s">
        <v>109</v>
      </c>
      <c r="B284" t="str">
        <f>VLOOKUP(A284,PW!A:C,3,0)</f>
        <v>Valine, leucine</v>
      </c>
      <c r="C284" t="str">
        <f t="shared" si="4"/>
        <v>ALDH6A1-&gt;ABAT</v>
      </c>
      <c r="D284" t="s">
        <v>412</v>
      </c>
      <c r="E284" t="s">
        <v>362</v>
      </c>
      <c r="F284" s="27">
        <v>0.217994413</v>
      </c>
      <c r="G284" s="27">
        <v>0.217994413</v>
      </c>
      <c r="H284" s="27">
        <v>4.7294999999999997E-2</v>
      </c>
      <c r="I284" s="27">
        <v>0.349255388</v>
      </c>
    </row>
    <row r="285" spans="1:17">
      <c r="A285" t="s">
        <v>121</v>
      </c>
      <c r="B285" t="str">
        <f>VLOOKUP(A285,PW!A:C,3,0)</f>
        <v>β-Alanine metabolism</v>
      </c>
      <c r="C285" t="str">
        <f t="shared" si="4"/>
        <v>ALDH6A1-&gt;ABAT</v>
      </c>
      <c r="D285" t="s">
        <v>412</v>
      </c>
      <c r="E285" t="s">
        <v>362</v>
      </c>
      <c r="F285" s="27">
        <v>0.217994413</v>
      </c>
      <c r="G285" s="27">
        <v>0.217994413</v>
      </c>
      <c r="H285" s="27">
        <v>4.7294999999999997E-2</v>
      </c>
      <c r="I285" s="27">
        <v>0.349255388</v>
      </c>
    </row>
    <row r="286" spans="1:17">
      <c r="A286" t="s">
        <v>172</v>
      </c>
      <c r="B286" t="str">
        <f>VLOOKUP(A286,PW!A:C,3,0)</f>
        <v>Vitamin B6 metabolis</v>
      </c>
      <c r="C286" t="str">
        <f t="shared" si="4"/>
        <v>PHOSPHO2-&gt;PNPO</v>
      </c>
      <c r="D286" t="s">
        <v>404</v>
      </c>
      <c r="E286" t="s">
        <v>403</v>
      </c>
      <c r="F286" s="27">
        <v>-0.21674811199999999</v>
      </c>
      <c r="G286" s="27">
        <v>0.21674811199999999</v>
      </c>
      <c r="H286" s="27">
        <v>5.5978199999999999E-4</v>
      </c>
      <c r="I286" s="27">
        <v>4.8535821999999999E-2</v>
      </c>
    </row>
    <row r="287" spans="1:17">
      <c r="A287" t="s">
        <v>149</v>
      </c>
      <c r="B287" t="str">
        <f>VLOOKUP(A287,PW!A:C,3,0)</f>
        <v xml:space="preserve">Glycerophospholipid </v>
      </c>
      <c r="C287" t="str">
        <f t="shared" si="4"/>
        <v>LPCAT3-&gt;PTDSS2</v>
      </c>
      <c r="D287" t="s">
        <v>300</v>
      </c>
      <c r="E287" t="s">
        <v>541</v>
      </c>
      <c r="F287" s="27">
        <v>0.21614022399999999</v>
      </c>
      <c r="G287" s="27">
        <v>0.21614022399999999</v>
      </c>
      <c r="H287" s="27">
        <v>3.9603655000000001E-2</v>
      </c>
      <c r="I287" s="27">
        <v>0.32892196000000001</v>
      </c>
    </row>
    <row r="288" spans="1:17">
      <c r="A288" t="s">
        <v>199</v>
      </c>
      <c r="B288" t="str">
        <f>VLOOKUP(A288,PW!A:C,3,0)</f>
        <v>Human papillomavirus</v>
      </c>
      <c r="C288" t="str">
        <f t="shared" si="4"/>
        <v>FOXO1-&gt;CDKN1B</v>
      </c>
      <c r="D288" t="s">
        <v>348</v>
      </c>
      <c r="E288" t="s">
        <v>546</v>
      </c>
      <c r="F288" s="27">
        <v>-0.216005431</v>
      </c>
      <c r="G288" s="27">
        <v>0.216005431</v>
      </c>
      <c r="H288" s="27">
        <v>4.5257788E-2</v>
      </c>
      <c r="I288" s="27">
        <v>0.34012037499999997</v>
      </c>
    </row>
    <row r="289" spans="1:17">
      <c r="A289" t="s">
        <v>201</v>
      </c>
      <c r="B289" t="str">
        <f>VLOOKUP(A289,PW!A:C,3,0)</f>
        <v>Choline metabolism i</v>
      </c>
      <c r="C289" t="str">
        <f t="shared" si="4"/>
        <v>MAPK1-&gt;PLA2G4B</v>
      </c>
      <c r="D289" t="s">
        <v>337</v>
      </c>
      <c r="E289" t="s">
        <v>370</v>
      </c>
      <c r="F289" s="27">
        <v>0.214890786</v>
      </c>
      <c r="G289" s="27">
        <v>0.214890786</v>
      </c>
      <c r="H289" s="27">
        <v>1.0467751000000001E-2</v>
      </c>
      <c r="I289" s="27">
        <v>0.208057667</v>
      </c>
    </row>
    <row r="290" spans="1:17">
      <c r="A290" t="s">
        <v>127</v>
      </c>
      <c r="B290" t="str">
        <f>VLOOKUP(A290,PW!A:C,3,0)</f>
        <v>Nicotinate and nicot</v>
      </c>
      <c r="C290" t="str">
        <f t="shared" si="4"/>
        <v>NADSYN1-&gt;NADK2</v>
      </c>
      <c r="D290" t="s">
        <v>256</v>
      </c>
      <c r="E290" t="s">
        <v>547</v>
      </c>
      <c r="F290" s="27">
        <v>0.21428779000000001</v>
      </c>
      <c r="G290" s="27">
        <v>0.21428779000000001</v>
      </c>
      <c r="H290" s="27">
        <v>3.4120332000000003E-2</v>
      </c>
      <c r="I290" s="27">
        <v>0.308500726</v>
      </c>
    </row>
    <row r="291" spans="1:17">
      <c r="A291" t="s">
        <v>144</v>
      </c>
      <c r="B291" t="str">
        <f>VLOOKUP(A291,PW!A:C,3,0)</f>
        <v>Biosynthesis of vari</v>
      </c>
      <c r="C291" t="str">
        <f t="shared" si="4"/>
        <v>NANP-&gt;NPL</v>
      </c>
      <c r="D291" t="s">
        <v>548</v>
      </c>
      <c r="E291" t="s">
        <v>421</v>
      </c>
      <c r="F291" s="27">
        <v>-0.214089266</v>
      </c>
      <c r="G291" s="27">
        <v>0.214089266</v>
      </c>
      <c r="H291" s="27">
        <v>2.2232128E-2</v>
      </c>
      <c r="I291" s="27">
        <v>0.27486994399999998</v>
      </c>
    </row>
    <row r="292" spans="1:17">
      <c r="A292" t="s">
        <v>185</v>
      </c>
      <c r="B292" t="str">
        <f>VLOOKUP(A292,PW!A:C,3,0)</f>
        <v>Phosphatidylinositol</v>
      </c>
      <c r="C292" t="str">
        <f t="shared" si="4"/>
        <v>PTEN-&gt;CDIPT</v>
      </c>
      <c r="D292" t="s">
        <v>477</v>
      </c>
      <c r="E292" t="s">
        <v>409</v>
      </c>
      <c r="F292" s="27">
        <v>0.21331737200000001</v>
      </c>
      <c r="G292" s="27">
        <v>0.21331737200000001</v>
      </c>
      <c r="H292" s="27">
        <v>4.5328542999999999E-2</v>
      </c>
      <c r="I292" s="27">
        <v>0.34012037499999997</v>
      </c>
    </row>
    <row r="293" spans="1:17">
      <c r="A293" t="s">
        <v>127</v>
      </c>
      <c r="B293" t="str">
        <f>VLOOKUP(A293,PW!A:C,3,0)</f>
        <v>Nicotinate and nicot</v>
      </c>
      <c r="C293" t="str">
        <f t="shared" si="4"/>
        <v>NUDT13-&gt;SARM1</v>
      </c>
      <c r="D293" t="s">
        <v>549</v>
      </c>
      <c r="E293" t="s">
        <v>344</v>
      </c>
      <c r="F293" s="27">
        <v>-0.21327284099999999</v>
      </c>
      <c r="G293" s="27">
        <v>0.21327284099999999</v>
      </c>
      <c r="H293" s="27">
        <v>1.1786754E-2</v>
      </c>
      <c r="I293" s="27">
        <v>0.219839808</v>
      </c>
    </row>
    <row r="294" spans="1:17">
      <c r="A294" t="s">
        <v>149</v>
      </c>
      <c r="B294" t="str">
        <f>VLOOKUP(A294,PW!A:C,3,0)</f>
        <v xml:space="preserve">Glycerophospholipid </v>
      </c>
      <c r="C294" t="str">
        <f t="shared" si="4"/>
        <v>LPCAT3-&gt;CEPT1</v>
      </c>
      <c r="D294" t="s">
        <v>300</v>
      </c>
      <c r="E294" t="s">
        <v>295</v>
      </c>
      <c r="F294" s="27">
        <v>-0.21325306699999999</v>
      </c>
      <c r="G294" s="27">
        <v>0.21325306699999999</v>
      </c>
      <c r="H294" s="27">
        <v>2.8006039999999999E-3</v>
      </c>
      <c r="I294" s="27">
        <v>0.11878770399999999</v>
      </c>
    </row>
    <row r="295" spans="1:17">
      <c r="A295" t="s">
        <v>111</v>
      </c>
      <c r="B295" t="str">
        <f>VLOOKUP(A295,PW!A:C,3,0)</f>
        <v>Lysine degradation</v>
      </c>
      <c r="C295" t="str">
        <f t="shared" si="4"/>
        <v>EHMT2-&gt;CAMKMT</v>
      </c>
      <c r="D295" t="s">
        <v>414</v>
      </c>
      <c r="E295" t="s">
        <v>440</v>
      </c>
      <c r="F295" s="27">
        <v>-0.21245539999999999</v>
      </c>
      <c r="G295" s="27">
        <v>0.21245539999999999</v>
      </c>
      <c r="H295" s="27">
        <v>1.7334875E-2</v>
      </c>
      <c r="I295" s="27">
        <v>0.25035855099999998</v>
      </c>
    </row>
    <row r="296" spans="1:17">
      <c r="A296" t="s">
        <v>101</v>
      </c>
      <c r="B296" t="str">
        <f>VLOOKUP(A296,PW!A:C,3,0)</f>
        <v>Purine metabolism</v>
      </c>
      <c r="C296" t="str">
        <f t="shared" si="4"/>
        <v>ATIC-&gt;NT5C1B-RDH14</v>
      </c>
      <c r="D296" t="s">
        <v>550</v>
      </c>
      <c r="E296" t="s">
        <v>290</v>
      </c>
      <c r="F296" s="27">
        <v>0.21128081500000001</v>
      </c>
      <c r="G296" s="27">
        <v>0.21128081500000001</v>
      </c>
      <c r="H296" s="27">
        <v>3.8970008E-2</v>
      </c>
      <c r="I296" s="27">
        <v>0.32614898599999997</v>
      </c>
      <c r="Q296" s="14"/>
    </row>
    <row r="297" spans="1:17">
      <c r="A297" t="s">
        <v>98</v>
      </c>
      <c r="B297" t="str">
        <f>VLOOKUP(A297,PW!A:C,3,0)</f>
        <v>Fatty acid elongation</v>
      </c>
      <c r="C297" t="str">
        <f t="shared" si="4"/>
        <v>MECR-&gt;ECHS1</v>
      </c>
      <c r="D297" t="s">
        <v>506</v>
      </c>
      <c r="E297" t="s">
        <v>393</v>
      </c>
      <c r="F297" s="27">
        <v>-0.21102875099999999</v>
      </c>
      <c r="G297" s="27">
        <v>0.21102875099999999</v>
      </c>
      <c r="H297" s="27">
        <v>2.2960877000000001E-2</v>
      </c>
      <c r="I297" s="27">
        <v>0.27761394</v>
      </c>
      <c r="Q297" s="14"/>
    </row>
    <row r="298" spans="1:17">
      <c r="A298" t="s">
        <v>175</v>
      </c>
      <c r="B298" t="str">
        <f>VLOOKUP(A298,PW!A:C,3,0)</f>
        <v>Lipoic acid metaboli</v>
      </c>
      <c r="C298" t="str">
        <f t="shared" si="4"/>
        <v>OGDH-&gt;DLD</v>
      </c>
      <c r="D298" t="s">
        <v>551</v>
      </c>
      <c r="E298" t="s">
        <v>448</v>
      </c>
      <c r="F298" s="27">
        <v>-0.20971088800000001</v>
      </c>
      <c r="G298" s="27">
        <v>0.20971088800000001</v>
      </c>
      <c r="H298" s="27">
        <v>3.1862329000000002E-2</v>
      </c>
      <c r="I298" s="27">
        <v>0.30674497099999998</v>
      </c>
    </row>
    <row r="299" spans="1:17">
      <c r="A299" t="s">
        <v>99</v>
      </c>
      <c r="B299" t="str">
        <f>VLOOKUP(A299,PW!A:C,3,0)</f>
        <v>Fatty acid degradation</v>
      </c>
      <c r="C299" t="str">
        <f t="shared" si="4"/>
        <v>ECHS1-&gt;ACOX1</v>
      </c>
      <c r="D299" t="s">
        <v>393</v>
      </c>
      <c r="E299" t="s">
        <v>552</v>
      </c>
      <c r="F299" s="27">
        <v>0.208883864</v>
      </c>
      <c r="G299" s="27">
        <v>0.208883864</v>
      </c>
      <c r="H299" s="27">
        <v>2.9233451000000001E-2</v>
      </c>
      <c r="I299" s="27">
        <v>0.29725228599999998</v>
      </c>
      <c r="Q299" s="14"/>
    </row>
    <row r="300" spans="1:17">
      <c r="A300" t="s">
        <v>121</v>
      </c>
      <c r="B300" t="str">
        <f>VLOOKUP(A300,PW!A:C,3,0)</f>
        <v>β-Alanine metabolism</v>
      </c>
      <c r="C300" t="str">
        <f t="shared" si="4"/>
        <v>ECHS1-&gt;ACOX1</v>
      </c>
      <c r="D300" t="s">
        <v>393</v>
      </c>
      <c r="E300" t="s">
        <v>552</v>
      </c>
      <c r="F300" s="27">
        <v>0.208883864</v>
      </c>
      <c r="G300" s="27">
        <v>0.208883864</v>
      </c>
      <c r="H300" s="27">
        <v>2.9233451000000001E-2</v>
      </c>
      <c r="I300" s="27">
        <v>0.29725228599999998</v>
      </c>
    </row>
    <row r="301" spans="1:17">
      <c r="A301" t="s">
        <v>166</v>
      </c>
      <c r="B301" t="str">
        <f>VLOOKUP(A301,PW!A:C,3,0)</f>
        <v>Propanoate metabolis</v>
      </c>
      <c r="C301" t="str">
        <f t="shared" si="4"/>
        <v>ECHS1-&gt;ACOX1</v>
      </c>
      <c r="D301" t="s">
        <v>393</v>
      </c>
      <c r="E301" t="s">
        <v>552</v>
      </c>
      <c r="F301" s="27">
        <v>0.208883864</v>
      </c>
      <c r="G301" s="27">
        <v>0.208883864</v>
      </c>
      <c r="H301" s="27">
        <v>2.9233451000000001E-2</v>
      </c>
      <c r="I301" s="27">
        <v>0.29725228599999998</v>
      </c>
    </row>
    <row r="302" spans="1:17">
      <c r="A302" t="s">
        <v>107</v>
      </c>
      <c r="B302" t="str">
        <f>VLOOKUP(A302,PW!A:C,3,0)</f>
        <v>Cysteine and methionine</v>
      </c>
      <c r="C302" t="str">
        <f t="shared" si="4"/>
        <v>PSAT1-&gt;PHGDH</v>
      </c>
      <c r="D302" t="s">
        <v>553</v>
      </c>
      <c r="E302" t="s">
        <v>554</v>
      </c>
      <c r="F302" s="27">
        <v>0.207751298</v>
      </c>
      <c r="G302" s="27">
        <v>0.207751298</v>
      </c>
      <c r="H302" s="27">
        <v>3.7929716000000002E-2</v>
      </c>
      <c r="I302" s="27">
        <v>0.32246170299999999</v>
      </c>
    </row>
    <row r="303" spans="1:17">
      <c r="A303" t="s">
        <v>101</v>
      </c>
      <c r="B303" t="str">
        <f>VLOOKUP(A303,PW!A:C,3,0)</f>
        <v>Purine metabolism</v>
      </c>
      <c r="C303" t="str">
        <f t="shared" si="4"/>
        <v>ITPA-&gt;GMPS</v>
      </c>
      <c r="D303" t="s">
        <v>312</v>
      </c>
      <c r="E303" t="s">
        <v>555</v>
      </c>
      <c r="F303" s="27">
        <v>-0.20722589599999999</v>
      </c>
      <c r="G303" s="27">
        <v>0.20722589599999999</v>
      </c>
      <c r="H303" s="27">
        <v>1.2873069999999999E-3</v>
      </c>
      <c r="I303" s="27">
        <v>7.5031633E-2</v>
      </c>
      <c r="Q303" s="13"/>
    </row>
    <row r="304" spans="1:17">
      <c r="A304" t="s">
        <v>92</v>
      </c>
      <c r="B304" t="str">
        <f>VLOOKUP(A304,PW!A:C,3,0)</f>
        <v>Glycolysis</v>
      </c>
      <c r="C304" t="str">
        <f t="shared" si="4"/>
        <v>PDHA1-&gt;DLD</v>
      </c>
      <c r="D304" t="s">
        <v>455</v>
      </c>
      <c r="E304" t="s">
        <v>448</v>
      </c>
      <c r="F304" s="27">
        <v>0.206981469</v>
      </c>
      <c r="G304" s="27">
        <v>0.206981469</v>
      </c>
      <c r="H304" s="27">
        <v>2.1460353000000001E-2</v>
      </c>
      <c r="I304" s="27">
        <v>0.26633685899999998</v>
      </c>
    </row>
    <row r="305" spans="1:17">
      <c r="A305" t="s">
        <v>102</v>
      </c>
      <c r="B305" t="str">
        <f>VLOOKUP(A305,PW!A:C,3,0)</f>
        <v>Pyrimidine metabolism</v>
      </c>
      <c r="C305" t="str">
        <f t="shared" si="4"/>
        <v>TYMP-&gt;DPYD</v>
      </c>
      <c r="D305" t="s">
        <v>556</v>
      </c>
      <c r="E305" t="s">
        <v>557</v>
      </c>
      <c r="F305" s="27">
        <v>-0.204328975</v>
      </c>
      <c r="G305" s="27">
        <v>0.204328975</v>
      </c>
      <c r="H305" s="27">
        <v>7.6241019999999998E-3</v>
      </c>
      <c r="I305" s="27">
        <v>0.175246966</v>
      </c>
      <c r="Q305" s="13"/>
    </row>
    <row r="306" spans="1:17">
      <c r="A306" t="s">
        <v>183</v>
      </c>
      <c r="B306" t="str">
        <f>VLOOKUP(A306,PW!A:C,3,0)</f>
        <v>Drug metabolism</v>
      </c>
      <c r="C306" t="str">
        <f t="shared" si="4"/>
        <v>TYMP-&gt;DPYD</v>
      </c>
      <c r="D306" t="s">
        <v>556</v>
      </c>
      <c r="E306" t="s">
        <v>557</v>
      </c>
      <c r="F306" s="27">
        <v>-0.204328975</v>
      </c>
      <c r="G306" s="27">
        <v>0.204328975</v>
      </c>
      <c r="H306" s="27">
        <v>7.6241019999999998E-3</v>
      </c>
      <c r="I306" s="27">
        <v>0.175246966</v>
      </c>
    </row>
    <row r="307" spans="1:17">
      <c r="A307" t="s">
        <v>95</v>
      </c>
      <c r="B307" t="str">
        <f>VLOOKUP(A307,PW!A:C,3,0)</f>
        <v>Fructose &amp; mannose</v>
      </c>
      <c r="C307" t="str">
        <f t="shared" si="4"/>
        <v>PFKL-&gt;ALDOA</v>
      </c>
      <c r="D307" t="s">
        <v>444</v>
      </c>
      <c r="E307" t="s">
        <v>443</v>
      </c>
      <c r="F307" s="27">
        <v>0.203632697</v>
      </c>
      <c r="G307" s="27">
        <v>0.203632697</v>
      </c>
      <c r="H307" s="27">
        <v>1.9231695E-2</v>
      </c>
      <c r="I307" s="27">
        <v>0.25517176200000002</v>
      </c>
      <c r="Q307" s="14"/>
    </row>
    <row r="308" spans="1:17">
      <c r="A308" t="s">
        <v>191</v>
      </c>
      <c r="B308" t="str">
        <f>VLOOKUP(A308,PW!A:C,3,0)</f>
        <v>Renin–angiotensin sy</v>
      </c>
      <c r="C308" t="str">
        <f t="shared" si="4"/>
        <v>CTSG-&gt;ENPEP</v>
      </c>
      <c r="D308" t="s">
        <v>558</v>
      </c>
      <c r="E308" t="s">
        <v>559</v>
      </c>
      <c r="F308" s="27">
        <v>0.20308986400000001</v>
      </c>
      <c r="G308" s="27">
        <v>0.20308986400000001</v>
      </c>
      <c r="H308" s="27">
        <v>1.7889252000000001E-2</v>
      </c>
      <c r="I308" s="27">
        <v>0.25278369299999998</v>
      </c>
    </row>
    <row r="309" spans="1:17">
      <c r="A309" t="s">
        <v>36</v>
      </c>
      <c r="B309" t="str">
        <f>VLOOKUP(A309,PW!A:C,3,0)</f>
        <v>Tuberculosis</v>
      </c>
      <c r="C309" t="str">
        <f t="shared" si="4"/>
        <v>RFX5-&gt;CD74</v>
      </c>
      <c r="D309" t="s">
        <v>560</v>
      </c>
      <c r="E309" t="s">
        <v>561</v>
      </c>
      <c r="F309" s="27">
        <v>-0.20293641900000001</v>
      </c>
      <c r="G309" s="27">
        <v>0.20293641900000001</v>
      </c>
      <c r="H309" s="27">
        <v>4.5035248E-2</v>
      </c>
      <c r="I309" s="27">
        <v>0.34012037499999997</v>
      </c>
    </row>
    <row r="310" spans="1:17">
      <c r="A310" t="s">
        <v>177</v>
      </c>
      <c r="B310" t="str">
        <f>VLOOKUP(A310,PW!A:C,3,0)</f>
        <v>Porphyrin and chloro</v>
      </c>
      <c r="C310" t="str">
        <f t="shared" si="4"/>
        <v>HMOX1-&gt;BLVRA</v>
      </c>
      <c r="D310" t="s">
        <v>311</v>
      </c>
      <c r="E310" t="s">
        <v>562</v>
      </c>
      <c r="F310" s="27">
        <v>0.20257679000000001</v>
      </c>
      <c r="G310" s="27">
        <v>0.20257679000000001</v>
      </c>
      <c r="H310" s="27">
        <v>2.6560716000000002E-2</v>
      </c>
      <c r="I310" s="27">
        <v>0.29035814700000001</v>
      </c>
    </row>
    <row r="311" spans="1:17">
      <c r="A311" t="s">
        <v>143</v>
      </c>
      <c r="B311" t="str">
        <f>VLOOKUP(A311,PW!A:C,3,0)</f>
        <v>Th1 and Th2 cell dif</v>
      </c>
      <c r="C311" t="str">
        <f t="shared" si="4"/>
        <v>TBX21-&gt;GATA3</v>
      </c>
      <c r="D311" t="s">
        <v>402</v>
      </c>
      <c r="E311" t="s">
        <v>328</v>
      </c>
      <c r="F311" s="27">
        <v>-0.20047791600000001</v>
      </c>
      <c r="G311" s="27">
        <v>0.20047791600000001</v>
      </c>
      <c r="H311" s="27">
        <v>5.5207709999999998E-3</v>
      </c>
      <c r="I311" s="27">
        <v>0.16179893200000001</v>
      </c>
    </row>
    <row r="312" spans="1:17">
      <c r="A312" t="s">
        <v>116</v>
      </c>
      <c r="B312" t="str">
        <f>VLOOKUP(A312,PW!A:C,3,0)</f>
        <v>T cell receptor sign</v>
      </c>
      <c r="C312" t="str">
        <f t="shared" si="4"/>
        <v>NFATC1-&gt;CDK4</v>
      </c>
      <c r="D312" t="s">
        <v>274</v>
      </c>
      <c r="E312" t="s">
        <v>563</v>
      </c>
      <c r="F312" s="27">
        <v>-0.20036438300000001</v>
      </c>
      <c r="G312" s="27">
        <v>0.20036438300000001</v>
      </c>
      <c r="H312" s="27">
        <v>3.5481512E-2</v>
      </c>
      <c r="I312" s="27">
        <v>0.31350072699999998</v>
      </c>
    </row>
    <row r="313" spans="1:17">
      <c r="A313" t="s">
        <v>124</v>
      </c>
      <c r="B313" t="str">
        <f>VLOOKUP(A313,PW!A:C,3,0)</f>
        <v>Selenocompound metabolism</v>
      </c>
      <c r="C313" t="str">
        <f t="shared" si="4"/>
        <v>CTH-&gt;TXNRD2</v>
      </c>
      <c r="D313" t="s">
        <v>564</v>
      </c>
      <c r="E313" t="s">
        <v>565</v>
      </c>
      <c r="F313" s="27">
        <v>-0.20005525399999999</v>
      </c>
      <c r="G313" s="27">
        <v>0.20005525399999999</v>
      </c>
      <c r="H313" s="27">
        <v>1.6628159999999999E-3</v>
      </c>
      <c r="I313" s="27">
        <v>9.0457209999999996E-2</v>
      </c>
    </row>
    <row r="314" spans="1:17">
      <c r="A314" t="s">
        <v>149</v>
      </c>
      <c r="B314" t="str">
        <f>VLOOKUP(A314,PW!A:C,3,0)</f>
        <v xml:space="preserve">Glycerophospholipid </v>
      </c>
      <c r="C314" t="str">
        <f t="shared" si="4"/>
        <v>SAMD8-&gt;PTDSS2</v>
      </c>
      <c r="D314" t="s">
        <v>270</v>
      </c>
      <c r="E314" t="s">
        <v>541</v>
      </c>
      <c r="F314" s="27">
        <v>0.199305496</v>
      </c>
      <c r="G314" s="27">
        <v>0.199305496</v>
      </c>
      <c r="H314" s="27">
        <v>2.7251063999999998E-2</v>
      </c>
      <c r="I314" s="27">
        <v>0.29035814700000001</v>
      </c>
    </row>
    <row r="315" spans="1:17">
      <c r="A315" t="s">
        <v>123</v>
      </c>
      <c r="B315" t="str">
        <f>VLOOKUP(A315,PW!A:C,3,0)</f>
        <v>Phosphonate and metabolism</v>
      </c>
      <c r="C315" t="str">
        <f t="shared" si="4"/>
        <v>PCYT1A-&gt;CEPT1</v>
      </c>
      <c r="D315" t="s">
        <v>359</v>
      </c>
      <c r="E315" t="s">
        <v>295</v>
      </c>
      <c r="F315" s="27">
        <v>-0.19886269100000001</v>
      </c>
      <c r="G315" s="27">
        <v>0.19886269100000001</v>
      </c>
      <c r="H315" s="27">
        <v>3.3648620000000001E-3</v>
      </c>
      <c r="I315" s="27">
        <v>0.13074894000000001</v>
      </c>
    </row>
    <row r="316" spans="1:17">
      <c r="A316" t="s">
        <v>156</v>
      </c>
      <c r="B316" t="str">
        <f>VLOOKUP(A316,PW!A:C,3,0)</f>
        <v>Sphingolipid metabol</v>
      </c>
      <c r="C316" t="str">
        <f t="shared" si="4"/>
        <v>GLA-&gt;GALC</v>
      </c>
      <c r="D316" t="s">
        <v>492</v>
      </c>
      <c r="E316" t="s">
        <v>320</v>
      </c>
      <c r="F316" s="27">
        <v>-0.19885583600000001</v>
      </c>
      <c r="G316" s="27">
        <v>0.19885583600000001</v>
      </c>
      <c r="H316" s="27">
        <v>3.2845159999999999E-3</v>
      </c>
      <c r="I316" s="27">
        <v>0.13074894000000001</v>
      </c>
    </row>
    <row r="317" spans="1:17">
      <c r="A317" t="s">
        <v>132</v>
      </c>
      <c r="B317" t="str">
        <f>VLOOKUP(A317,PW!A:C,3,0)</f>
        <v xml:space="preserve">Mucin‑type O‑glycan </v>
      </c>
      <c r="C317" t="str">
        <f t="shared" si="4"/>
        <v>GCNT1-&gt;POC1B-GALNT4</v>
      </c>
      <c r="D317" t="s">
        <v>566</v>
      </c>
      <c r="E317" t="s">
        <v>567</v>
      </c>
      <c r="F317" s="27">
        <v>-0.19884949299999999</v>
      </c>
      <c r="G317" s="27">
        <v>0.19884949299999999</v>
      </c>
      <c r="H317" s="27">
        <v>4.3131685000000003E-2</v>
      </c>
      <c r="I317" s="27">
        <v>0.33945918000000003</v>
      </c>
    </row>
    <row r="318" spans="1:17">
      <c r="A318" t="s">
        <v>180</v>
      </c>
      <c r="B318" t="str">
        <f>VLOOKUP(A318,PW!A:C,3,0)</f>
        <v>Sulfur metabolism</v>
      </c>
      <c r="C318" t="str">
        <f t="shared" si="4"/>
        <v>ETHE1-&gt;SUOX</v>
      </c>
      <c r="D318" t="s">
        <v>515</v>
      </c>
      <c r="E318" t="s">
        <v>568</v>
      </c>
      <c r="F318" s="27">
        <v>-0.19834713500000001</v>
      </c>
      <c r="G318" s="27">
        <v>0.19834713500000001</v>
      </c>
      <c r="H318" s="27">
        <v>2.6597534999999999E-2</v>
      </c>
      <c r="I318" s="27">
        <v>0.29035814700000001</v>
      </c>
    </row>
    <row r="319" spans="1:17">
      <c r="A319" t="s">
        <v>102</v>
      </c>
      <c r="B319" t="str">
        <f>VLOOKUP(A319,PW!A:C,3,0)</f>
        <v>Pyrimidine metabolism</v>
      </c>
      <c r="C319" t="str">
        <f t="shared" si="4"/>
        <v>NT5C1B-RDH14-&gt;UMPS</v>
      </c>
      <c r="D319" t="s">
        <v>290</v>
      </c>
      <c r="E319" t="s">
        <v>454</v>
      </c>
      <c r="F319" s="27">
        <v>-0.197413323</v>
      </c>
      <c r="G319" s="27">
        <v>0.197413323</v>
      </c>
      <c r="H319" s="27">
        <v>8.7726700000000004E-4</v>
      </c>
      <c r="I319" s="27">
        <v>6.0923375000000002E-2</v>
      </c>
      <c r="Q319" s="13"/>
    </row>
    <row r="320" spans="1:17">
      <c r="A320" t="s">
        <v>119</v>
      </c>
      <c r="B320" t="str">
        <f>VLOOKUP(A320,PW!A:C,3,0)</f>
        <v>Tryptophan metabolism</v>
      </c>
      <c r="C320" t="str">
        <f t="shared" si="4"/>
        <v>KMO-&gt;KYNU</v>
      </c>
      <c r="D320" t="s">
        <v>569</v>
      </c>
      <c r="E320" t="s">
        <v>529</v>
      </c>
      <c r="F320" s="27">
        <v>-0.19630518299999999</v>
      </c>
      <c r="G320" s="27">
        <v>0.19630518299999999</v>
      </c>
      <c r="H320" s="27">
        <v>3.3375057999999999E-2</v>
      </c>
      <c r="I320" s="27">
        <v>0.307710339</v>
      </c>
    </row>
    <row r="321" spans="1:17">
      <c r="A321" t="s">
        <v>101</v>
      </c>
      <c r="B321" t="str">
        <f>VLOOKUP(A321,PW!A:C,3,0)</f>
        <v>Purine metabolism</v>
      </c>
      <c r="C321" t="str">
        <f t="shared" si="4"/>
        <v>ITPA-&gt;NME6</v>
      </c>
      <c r="D321" t="s">
        <v>312</v>
      </c>
      <c r="E321" t="s">
        <v>285</v>
      </c>
      <c r="F321" s="27">
        <v>0.196286656</v>
      </c>
      <c r="G321" s="27">
        <v>0.196286656</v>
      </c>
      <c r="H321" s="27">
        <v>4.83804E-4</v>
      </c>
      <c r="I321" s="27">
        <v>4.5118211999999998E-2</v>
      </c>
      <c r="Q321" s="13"/>
    </row>
    <row r="322" spans="1:17">
      <c r="A322" t="s">
        <v>98</v>
      </c>
      <c r="B322" t="str">
        <f>VLOOKUP(A322,PW!A:C,3,0)</f>
        <v>Fatty acid elongation</v>
      </c>
      <c r="C322" t="str">
        <f t="shared" ref="C322:C385" si="5">D322&amp;"-&gt;"&amp;E322</f>
        <v>ECHS1-&gt;HADH</v>
      </c>
      <c r="D322" t="s">
        <v>393</v>
      </c>
      <c r="E322" t="s">
        <v>570</v>
      </c>
      <c r="F322" s="27">
        <v>-0.19441686699999999</v>
      </c>
      <c r="G322" s="27">
        <v>0.19441686699999999</v>
      </c>
      <c r="H322" s="27">
        <v>6.1355489999999997E-3</v>
      </c>
      <c r="I322" s="27">
        <v>0.165613279</v>
      </c>
      <c r="Q322" s="14"/>
    </row>
    <row r="323" spans="1:17">
      <c r="A323" t="s">
        <v>109</v>
      </c>
      <c r="B323" t="str">
        <f>VLOOKUP(A323,PW!A:C,3,0)</f>
        <v>Valine, leucine</v>
      </c>
      <c r="C323" t="str">
        <f t="shared" si="5"/>
        <v>MCCC1-&gt;IVD</v>
      </c>
      <c r="D323" t="s">
        <v>429</v>
      </c>
      <c r="E323" t="s">
        <v>571</v>
      </c>
      <c r="F323" s="27">
        <v>-0.19410180799999999</v>
      </c>
      <c r="G323" s="27">
        <v>0.19410180799999999</v>
      </c>
      <c r="H323" s="27">
        <v>4.3048033999999999E-2</v>
      </c>
      <c r="I323" s="27">
        <v>0.33945918000000003</v>
      </c>
    </row>
    <row r="324" spans="1:17">
      <c r="A324" t="s">
        <v>104</v>
      </c>
      <c r="B324" t="str">
        <f>VLOOKUP(A324,PW!A:C,3,0)</f>
        <v>Alanine, aspartate</v>
      </c>
      <c r="C324" t="str">
        <f t="shared" si="5"/>
        <v>PPAT-&gt;GLUL</v>
      </c>
      <c r="D324" t="s">
        <v>572</v>
      </c>
      <c r="E324" t="s">
        <v>491</v>
      </c>
      <c r="F324" s="27">
        <v>-0.193935197</v>
      </c>
      <c r="G324" s="27">
        <v>0.193935197</v>
      </c>
      <c r="H324" s="27">
        <v>2.8181978E-2</v>
      </c>
      <c r="I324" s="27">
        <v>0.29116463300000001</v>
      </c>
      <c r="Q324" s="13"/>
    </row>
    <row r="325" spans="1:17">
      <c r="A325" t="s">
        <v>100</v>
      </c>
      <c r="B325" t="str">
        <f>VLOOKUP(A325,PW!A:C,3,0)</f>
        <v>Primary bile acid</v>
      </c>
      <c r="C325" t="str">
        <f t="shared" si="5"/>
        <v>CYP7B1-&gt;HSD3B7</v>
      </c>
      <c r="D325" t="s">
        <v>573</v>
      </c>
      <c r="E325" t="s">
        <v>574</v>
      </c>
      <c r="F325" s="27">
        <v>0.19390116700000001</v>
      </c>
      <c r="G325" s="27">
        <v>0.19390116700000001</v>
      </c>
      <c r="H325" s="27">
        <v>3.9977540000000001E-3</v>
      </c>
      <c r="I325" s="27">
        <v>0.13665022499999999</v>
      </c>
      <c r="Q325" s="14"/>
    </row>
    <row r="326" spans="1:17">
      <c r="A326" t="s">
        <v>130</v>
      </c>
      <c r="B326" t="str">
        <f>VLOOKUP(A326,PW!A:C,3,0)</f>
        <v>N‑Glycan biosynthesis</v>
      </c>
      <c r="C326" t="str">
        <f t="shared" si="5"/>
        <v>ALG8-&gt;ALG6</v>
      </c>
      <c r="D326" t="s">
        <v>575</v>
      </c>
      <c r="E326" t="s">
        <v>280</v>
      </c>
      <c r="F326" s="27">
        <v>0.19175922000000001</v>
      </c>
      <c r="G326" s="27">
        <v>0.19175922000000001</v>
      </c>
      <c r="H326" s="27">
        <v>3.3605200000000001E-3</v>
      </c>
      <c r="I326" s="27">
        <v>0.13074894000000001</v>
      </c>
    </row>
    <row r="327" spans="1:17">
      <c r="A327" t="s">
        <v>121</v>
      </c>
      <c r="B327" t="str">
        <f>VLOOKUP(A327,PW!A:C,3,0)</f>
        <v>β-Alanine metabolism</v>
      </c>
      <c r="C327" t="str">
        <f t="shared" si="5"/>
        <v>CARNS1-&gt;ALDH2</v>
      </c>
      <c r="D327" t="s">
        <v>468</v>
      </c>
      <c r="E327" t="s">
        <v>299</v>
      </c>
      <c r="F327" s="27">
        <v>0.18527354700000001</v>
      </c>
      <c r="G327" s="27">
        <v>0.18527354700000001</v>
      </c>
      <c r="H327" s="27">
        <v>9.0708109999999998E-3</v>
      </c>
      <c r="I327" s="27">
        <v>0.197380841</v>
      </c>
    </row>
    <row r="328" spans="1:17">
      <c r="A328" t="s">
        <v>151</v>
      </c>
      <c r="B328" t="str">
        <f>VLOOKUP(A328,PW!A:C,3,0)</f>
        <v>Ether lipid metaboli</v>
      </c>
      <c r="C328" t="str">
        <f t="shared" si="5"/>
        <v>GDPD1-&gt;PLA2G4B</v>
      </c>
      <c r="D328" t="s">
        <v>576</v>
      </c>
      <c r="E328" t="s">
        <v>370</v>
      </c>
      <c r="F328" s="27">
        <v>-0.18449953099999999</v>
      </c>
      <c r="G328" s="27">
        <v>0.18449953099999999</v>
      </c>
      <c r="H328" s="27">
        <v>1.8552020999999998E-2</v>
      </c>
      <c r="I328" s="27">
        <v>0.25378521500000001</v>
      </c>
    </row>
    <row r="329" spans="1:17">
      <c r="A329" t="s">
        <v>101</v>
      </c>
      <c r="B329" t="str">
        <f>VLOOKUP(A329,PW!A:C,3,0)</f>
        <v>Purine metabolism</v>
      </c>
      <c r="C329" t="str">
        <f t="shared" si="5"/>
        <v>ENPP1-&gt;PDE10A</v>
      </c>
      <c r="D329" t="s">
        <v>577</v>
      </c>
      <c r="E329" t="s">
        <v>578</v>
      </c>
      <c r="F329" s="27">
        <v>0.18345673200000001</v>
      </c>
      <c r="G329" s="27">
        <v>0.18345673200000001</v>
      </c>
      <c r="H329" s="27">
        <v>4.5299590000000001E-2</v>
      </c>
      <c r="I329" s="27">
        <v>0.34012037499999997</v>
      </c>
      <c r="Q329" s="13"/>
    </row>
    <row r="330" spans="1:17">
      <c r="A330" t="s">
        <v>98</v>
      </c>
      <c r="B330" t="str">
        <f>VLOOKUP(A330,PW!A:C,3,0)</f>
        <v>Fatty acid elongation</v>
      </c>
      <c r="C330" t="str">
        <f t="shared" si="5"/>
        <v>ECHS1-&gt;MECR</v>
      </c>
      <c r="D330" t="s">
        <v>393</v>
      </c>
      <c r="E330" t="s">
        <v>506</v>
      </c>
      <c r="F330" s="27">
        <v>-0.18139633199999999</v>
      </c>
      <c r="G330" s="27">
        <v>0.18139633199999999</v>
      </c>
      <c r="H330" s="27">
        <v>3.7357038000000002E-2</v>
      </c>
      <c r="I330" s="27">
        <v>0.32087729799999998</v>
      </c>
      <c r="Q330" s="14"/>
    </row>
    <row r="331" spans="1:17">
      <c r="A331" t="s">
        <v>102</v>
      </c>
      <c r="B331" t="str">
        <f>VLOOKUP(A331,PW!A:C,3,0)</f>
        <v>Pyrimidine metabolism</v>
      </c>
      <c r="C331" t="str">
        <f t="shared" si="5"/>
        <v>DTYMK-&gt;HDDC2</v>
      </c>
      <c r="D331" t="s">
        <v>286</v>
      </c>
      <c r="E331" t="s">
        <v>579</v>
      </c>
      <c r="F331" s="27">
        <v>-0.18123307799999999</v>
      </c>
      <c r="G331" s="27">
        <v>0.18123307799999999</v>
      </c>
      <c r="H331" s="27">
        <v>3.8851359000000002E-2</v>
      </c>
      <c r="I331" s="27">
        <v>0.32599186699999999</v>
      </c>
      <c r="Q331" s="13"/>
    </row>
    <row r="332" spans="1:17">
      <c r="A332" t="s">
        <v>166</v>
      </c>
      <c r="B332" t="str">
        <f>VLOOKUP(A332,PW!A:C,3,0)</f>
        <v>Propanoate metabolis</v>
      </c>
      <c r="C332" t="str">
        <f t="shared" si="5"/>
        <v>ALDH6A1-&gt;DBT</v>
      </c>
      <c r="D332" t="s">
        <v>412</v>
      </c>
      <c r="E332" t="s">
        <v>580</v>
      </c>
      <c r="F332" s="27">
        <v>-0.181198949</v>
      </c>
      <c r="G332" s="27">
        <v>0.181198949</v>
      </c>
      <c r="H332" s="27">
        <v>7.790323E-3</v>
      </c>
      <c r="I332" s="27">
        <v>0.176580662</v>
      </c>
    </row>
    <row r="333" spans="1:17">
      <c r="A333" t="s">
        <v>182</v>
      </c>
      <c r="B333" t="str">
        <f>VLOOKUP(A333,PW!A:C,3,0)</f>
        <v>Metabolism of xenobi</v>
      </c>
      <c r="C333" t="str">
        <f t="shared" si="5"/>
        <v>EPHX1-&gt;GSTO2</v>
      </c>
      <c r="D333" t="s">
        <v>581</v>
      </c>
      <c r="E333" t="s">
        <v>372</v>
      </c>
      <c r="F333" s="27">
        <v>0.181012743</v>
      </c>
      <c r="G333" s="27">
        <v>0.181012743</v>
      </c>
      <c r="H333" s="27">
        <v>3.3753459999999999E-2</v>
      </c>
      <c r="I333" s="27">
        <v>0.307710339</v>
      </c>
    </row>
    <row r="334" spans="1:17">
      <c r="A334" t="s">
        <v>94</v>
      </c>
      <c r="B334" t="str">
        <f>VLOOKUP(A334,PW!A:C,3,0)</f>
        <v>Pentose phosphate</v>
      </c>
      <c r="C334" t="str">
        <f t="shared" si="5"/>
        <v>TALDO1-&gt;TKT</v>
      </c>
      <c r="D334" t="s">
        <v>539</v>
      </c>
      <c r="E334" t="s">
        <v>460</v>
      </c>
      <c r="F334" s="27">
        <v>-0.17989344500000001</v>
      </c>
      <c r="G334" s="27">
        <v>0.17989344500000001</v>
      </c>
      <c r="H334" s="27">
        <v>3.518569E-3</v>
      </c>
      <c r="I334" s="27">
        <v>0.13200700900000001</v>
      </c>
    </row>
    <row r="335" spans="1:17">
      <c r="A335" t="s">
        <v>138</v>
      </c>
      <c r="B335" t="str">
        <f>VLOOKUP(A335,PW!A:C,3,0)</f>
        <v>Amino sugar and nucleotide</v>
      </c>
      <c r="C335" t="str">
        <f t="shared" si="5"/>
        <v>FCSK-&gt;FPGT</v>
      </c>
      <c r="D335" t="s">
        <v>582</v>
      </c>
      <c r="E335" t="s">
        <v>583</v>
      </c>
      <c r="F335" s="27">
        <v>0.17987726100000001</v>
      </c>
      <c r="G335" s="27">
        <v>0.17987726100000001</v>
      </c>
      <c r="H335" s="27">
        <v>4.4920594000000001E-2</v>
      </c>
      <c r="I335" s="27">
        <v>0.34012037499999997</v>
      </c>
    </row>
    <row r="336" spans="1:17">
      <c r="A336" t="s">
        <v>164</v>
      </c>
      <c r="B336" t="str">
        <f>VLOOKUP(A336,PW!A:C,3,0)</f>
        <v xml:space="preserve">Pyruvate metabolism </v>
      </c>
      <c r="C336" t="str">
        <f t="shared" si="5"/>
        <v>LDHD-&gt;ME3</v>
      </c>
      <c r="D336" t="s">
        <v>584</v>
      </c>
      <c r="E336" t="s">
        <v>585</v>
      </c>
      <c r="F336" s="27">
        <v>-0.17970971999999999</v>
      </c>
      <c r="G336" s="27">
        <v>0.17970971999999999</v>
      </c>
      <c r="H336" s="27">
        <v>3.5724699999999998E-2</v>
      </c>
      <c r="I336" s="27">
        <v>0.31350072699999998</v>
      </c>
    </row>
    <row r="337" spans="1:17">
      <c r="A337" t="s">
        <v>132</v>
      </c>
      <c r="B337" t="str">
        <f>VLOOKUP(A337,PW!A:C,3,0)</f>
        <v xml:space="preserve">Mucin‑type O‑glycan </v>
      </c>
      <c r="C337" t="str">
        <f t="shared" si="5"/>
        <v>POC1B-GALNT4-&gt;C1GALT1C1</v>
      </c>
      <c r="D337" t="s">
        <v>567</v>
      </c>
      <c r="E337" t="s">
        <v>586</v>
      </c>
      <c r="F337" s="27">
        <v>-0.17857931599999999</v>
      </c>
      <c r="G337" s="27">
        <v>0.17857931599999999</v>
      </c>
      <c r="H337" s="27">
        <v>4.3443019999999999E-2</v>
      </c>
      <c r="I337" s="27">
        <v>0.34012037499999997</v>
      </c>
    </row>
    <row r="338" spans="1:17">
      <c r="A338" t="s">
        <v>184</v>
      </c>
      <c r="B338" t="str">
        <f>VLOOKUP(A338,PW!A:C,3,0)</f>
        <v>HIF‑1 signaling path</v>
      </c>
      <c r="C338" t="str">
        <f t="shared" si="5"/>
        <v>STAT3-&gt;HIF1A</v>
      </c>
      <c r="D338" t="s">
        <v>289</v>
      </c>
      <c r="E338" t="s">
        <v>304</v>
      </c>
      <c r="F338" s="27">
        <v>-0.17845883900000001</v>
      </c>
      <c r="G338" s="27">
        <v>0.17845883900000001</v>
      </c>
      <c r="H338" s="27">
        <v>2.9557100000000001E-4</v>
      </c>
      <c r="I338" s="27">
        <v>4.2726105E-2</v>
      </c>
    </row>
    <row r="339" spans="1:17">
      <c r="A339" t="s">
        <v>18</v>
      </c>
      <c r="B339" t="str">
        <f>VLOOKUP(A339,PW!A:C,3,0)</f>
        <v>Th17 cell differenti</v>
      </c>
      <c r="C339" t="str">
        <f t="shared" si="5"/>
        <v>STAT3-&gt;HIF1A</v>
      </c>
      <c r="D339" t="s">
        <v>289</v>
      </c>
      <c r="E339" t="s">
        <v>304</v>
      </c>
      <c r="F339" s="27">
        <v>-0.17845883900000001</v>
      </c>
      <c r="G339" s="27">
        <v>0.17845883900000001</v>
      </c>
      <c r="H339" s="27">
        <v>2.9557100000000001E-4</v>
      </c>
      <c r="I339" s="27">
        <v>4.2726105E-2</v>
      </c>
    </row>
    <row r="340" spans="1:17">
      <c r="A340" t="s">
        <v>99</v>
      </c>
      <c r="B340" t="str">
        <f>VLOOKUP(A340,PW!A:C,3,0)</f>
        <v>Fatty acid degradation</v>
      </c>
      <c r="C340" t="str">
        <f t="shared" si="5"/>
        <v>ACADM-&gt;ACAT1</v>
      </c>
      <c r="D340" t="s">
        <v>587</v>
      </c>
      <c r="E340" t="s">
        <v>467</v>
      </c>
      <c r="F340" s="27">
        <v>0.17444916499999999</v>
      </c>
      <c r="G340" s="27">
        <v>0.17444916499999999</v>
      </c>
      <c r="H340" s="27">
        <v>1.5276799000000001E-2</v>
      </c>
      <c r="I340" s="27">
        <v>0.23084941</v>
      </c>
      <c r="Q340" s="14"/>
    </row>
    <row r="341" spans="1:17">
      <c r="A341" t="s">
        <v>148</v>
      </c>
      <c r="B341" t="str">
        <f>VLOOKUP(A341,PW!A:C,3,0)</f>
        <v>Inositol phosphate m</v>
      </c>
      <c r="C341" t="str">
        <f t="shared" si="5"/>
        <v>ITPK1-&gt;INPP1</v>
      </c>
      <c r="D341" t="s">
        <v>465</v>
      </c>
      <c r="E341" t="s">
        <v>464</v>
      </c>
      <c r="F341" s="27">
        <v>-0.17435490100000001</v>
      </c>
      <c r="G341" s="27">
        <v>0.17435490100000001</v>
      </c>
      <c r="H341" s="27">
        <v>2.7850258999999999E-2</v>
      </c>
      <c r="I341" s="27">
        <v>0.29116463300000001</v>
      </c>
    </row>
    <row r="342" spans="1:17">
      <c r="A342" t="s">
        <v>178</v>
      </c>
      <c r="B342" t="str">
        <f>VLOOKUP(A342,PW!A:C,3,0)</f>
        <v>Terpenoid backbone b</v>
      </c>
      <c r="C342" t="str">
        <f t="shared" si="5"/>
        <v>ZMPSTE24-&gt;CHURC1-FNTB</v>
      </c>
      <c r="D342" t="s">
        <v>588</v>
      </c>
      <c r="E342" t="s">
        <v>406</v>
      </c>
      <c r="F342" s="27">
        <v>-0.17362519800000001</v>
      </c>
      <c r="G342" s="27">
        <v>0.17362519800000001</v>
      </c>
      <c r="H342" s="27">
        <v>2.5806829999999999E-2</v>
      </c>
      <c r="I342" s="27">
        <v>0.29035814700000001</v>
      </c>
    </row>
    <row r="343" spans="1:17">
      <c r="A343" t="s">
        <v>96</v>
      </c>
      <c r="B343" t="str">
        <f>VLOOKUP(A343,PW!A:C,3,0)</f>
        <v>Galactose metabolism</v>
      </c>
      <c r="C343" t="str">
        <f t="shared" si="5"/>
        <v>GLA-&gt;GLB1</v>
      </c>
      <c r="D343" t="s">
        <v>492</v>
      </c>
      <c r="E343" t="s">
        <v>589</v>
      </c>
      <c r="F343" s="27">
        <v>-0.173206312</v>
      </c>
      <c r="G343" s="27">
        <v>0.173206312</v>
      </c>
      <c r="H343" s="27">
        <v>7.5719899999999996E-4</v>
      </c>
      <c r="I343" s="27">
        <v>5.6170425000000003E-2</v>
      </c>
      <c r="Q343" s="14"/>
    </row>
    <row r="344" spans="1:17">
      <c r="A344" t="s">
        <v>156</v>
      </c>
      <c r="B344" t="str">
        <f>VLOOKUP(A344,PW!A:C,3,0)</f>
        <v>Sphingolipid metabol</v>
      </c>
      <c r="C344" t="str">
        <f t="shared" si="5"/>
        <v>GLA-&gt;GLB1</v>
      </c>
      <c r="D344" t="s">
        <v>492</v>
      </c>
      <c r="E344" t="s">
        <v>589</v>
      </c>
      <c r="F344" s="27">
        <v>-0.173206312</v>
      </c>
      <c r="G344" s="27">
        <v>0.173206312</v>
      </c>
      <c r="H344" s="27">
        <v>7.5719899999999996E-4</v>
      </c>
      <c r="I344" s="27">
        <v>5.6170425000000003E-2</v>
      </c>
    </row>
    <row r="345" spans="1:17">
      <c r="A345" t="s">
        <v>181</v>
      </c>
      <c r="B345" t="str">
        <f>VLOOKUP(A345,PW!A:C,3,0)</f>
        <v>Longevity regulating</v>
      </c>
      <c r="C345" t="str">
        <f t="shared" si="5"/>
        <v>PRKACA-&gt;EHMT2</v>
      </c>
      <c r="D345" t="s">
        <v>469</v>
      </c>
      <c r="E345" t="s">
        <v>414</v>
      </c>
      <c r="F345" s="27">
        <v>0.172495759</v>
      </c>
      <c r="G345" s="27">
        <v>0.172495759</v>
      </c>
      <c r="H345" s="27">
        <v>3.1225725999999999E-2</v>
      </c>
      <c r="I345" s="27">
        <v>0.30674497099999998</v>
      </c>
    </row>
    <row r="346" spans="1:17">
      <c r="A346" t="s">
        <v>204</v>
      </c>
      <c r="B346" t="str">
        <f>VLOOKUP(A346,PW!A:C,3,0)</f>
        <v>Transcriptional misr</v>
      </c>
      <c r="C346" t="str">
        <f t="shared" si="5"/>
        <v>CEBPA-&gt;PER2</v>
      </c>
      <c r="D346" t="s">
        <v>508</v>
      </c>
      <c r="E346" t="s">
        <v>590</v>
      </c>
      <c r="F346" s="27">
        <v>0.17011515199999999</v>
      </c>
      <c r="G346" s="27">
        <v>0.17011515199999999</v>
      </c>
      <c r="H346" s="27">
        <v>1.0652142E-2</v>
      </c>
      <c r="I346" s="27">
        <v>0.208057667</v>
      </c>
    </row>
    <row r="347" spans="1:17">
      <c r="A347" t="s">
        <v>148</v>
      </c>
      <c r="B347" t="str">
        <f>VLOOKUP(A347,PW!A:C,3,0)</f>
        <v>Inositol phosphate m</v>
      </c>
      <c r="C347" t="str">
        <f t="shared" si="5"/>
        <v>PLCD3-&gt;PTEN</v>
      </c>
      <c r="D347" t="s">
        <v>341</v>
      </c>
      <c r="E347" t="s">
        <v>477</v>
      </c>
      <c r="F347" s="27">
        <v>-0.17010087800000001</v>
      </c>
      <c r="G347" s="27">
        <v>0.17010087800000001</v>
      </c>
      <c r="H347" s="27">
        <v>2.7310034E-2</v>
      </c>
      <c r="I347" s="27">
        <v>0.29035814700000001</v>
      </c>
    </row>
    <row r="348" spans="1:17">
      <c r="A348" t="s">
        <v>185</v>
      </c>
      <c r="B348" t="str">
        <f>VLOOKUP(A348,PW!A:C,3,0)</f>
        <v>Phosphatidylinositol</v>
      </c>
      <c r="C348" t="str">
        <f t="shared" si="5"/>
        <v>PLCD3-&gt;PTEN</v>
      </c>
      <c r="D348" t="s">
        <v>341</v>
      </c>
      <c r="E348" t="s">
        <v>477</v>
      </c>
      <c r="F348" s="27">
        <v>-0.17010087800000001</v>
      </c>
      <c r="G348" s="27">
        <v>0.17010087800000001</v>
      </c>
      <c r="H348" s="27">
        <v>2.7310034E-2</v>
      </c>
      <c r="I348" s="27">
        <v>0.29035814700000001</v>
      </c>
    </row>
    <row r="349" spans="1:17">
      <c r="A349" t="s">
        <v>101</v>
      </c>
      <c r="B349" t="str">
        <f>VLOOKUP(A349,PW!A:C,3,0)</f>
        <v>Purine metabolism</v>
      </c>
      <c r="C349" t="str">
        <f t="shared" si="5"/>
        <v>RRM2B-&gt;NME6</v>
      </c>
      <c r="D349" t="s">
        <v>356</v>
      </c>
      <c r="E349" t="s">
        <v>285</v>
      </c>
      <c r="F349" s="27">
        <v>-0.168859171</v>
      </c>
      <c r="G349" s="27">
        <v>0.168859171</v>
      </c>
      <c r="H349" s="27">
        <v>3.860236E-3</v>
      </c>
      <c r="I349" s="27">
        <v>0.13665022499999999</v>
      </c>
      <c r="Q349" s="13"/>
    </row>
    <row r="350" spans="1:17">
      <c r="A350" t="s">
        <v>183</v>
      </c>
      <c r="B350" t="str">
        <f>VLOOKUP(A350,PW!A:C,3,0)</f>
        <v>Drug metabolism</v>
      </c>
      <c r="C350" t="str">
        <f t="shared" si="5"/>
        <v>RRM2B-&gt;NME6</v>
      </c>
      <c r="D350" t="s">
        <v>356</v>
      </c>
      <c r="E350" t="s">
        <v>285</v>
      </c>
      <c r="F350" s="27">
        <v>-0.168859171</v>
      </c>
      <c r="G350" s="27">
        <v>0.168859171</v>
      </c>
      <c r="H350" s="27">
        <v>3.860236E-3</v>
      </c>
      <c r="I350" s="27">
        <v>0.13665022499999999</v>
      </c>
    </row>
    <row r="351" spans="1:17">
      <c r="A351" t="s">
        <v>156</v>
      </c>
      <c r="B351" t="str">
        <f>VLOOKUP(A351,PW!A:C,3,0)</f>
        <v>Sphingolipid metabol</v>
      </c>
      <c r="C351" t="str">
        <f t="shared" si="5"/>
        <v>B4GALT6-&gt;ARSA</v>
      </c>
      <c r="D351" t="s">
        <v>493</v>
      </c>
      <c r="E351" t="s">
        <v>591</v>
      </c>
      <c r="F351" s="27">
        <v>-0.16724618199999999</v>
      </c>
      <c r="G351" s="27">
        <v>0.16724618199999999</v>
      </c>
      <c r="H351" s="27">
        <v>1.8559402999999999E-2</v>
      </c>
      <c r="I351" s="27">
        <v>0.25378521500000001</v>
      </c>
    </row>
    <row r="352" spans="1:17">
      <c r="A352" t="s">
        <v>101</v>
      </c>
      <c r="B352" t="str">
        <f>VLOOKUP(A352,PW!A:C,3,0)</f>
        <v>Purine metabolism</v>
      </c>
      <c r="C352" t="str">
        <f t="shared" si="5"/>
        <v>PRUNE1-&gt;HDDC3</v>
      </c>
      <c r="D352" t="s">
        <v>592</v>
      </c>
      <c r="E352" t="s">
        <v>593</v>
      </c>
      <c r="F352" s="27">
        <v>-0.165352998</v>
      </c>
      <c r="G352" s="27">
        <v>0.165352998</v>
      </c>
      <c r="H352" s="27">
        <v>3.7992544000000003E-2</v>
      </c>
      <c r="I352" s="27">
        <v>0.32246170299999999</v>
      </c>
      <c r="Q352" s="13"/>
    </row>
    <row r="353" spans="1:17">
      <c r="A353" t="s">
        <v>104</v>
      </c>
      <c r="B353" t="str">
        <f>VLOOKUP(A353,PW!A:C,3,0)</f>
        <v>Alanine, aspartate</v>
      </c>
      <c r="C353" t="str">
        <f t="shared" si="5"/>
        <v>PPAT-&gt;CAD</v>
      </c>
      <c r="D353" t="s">
        <v>572</v>
      </c>
      <c r="E353" t="s">
        <v>325</v>
      </c>
      <c r="F353" s="27">
        <v>-0.164625989</v>
      </c>
      <c r="G353" s="27">
        <v>0.164625989</v>
      </c>
      <c r="H353" s="27">
        <v>7.7018010000000003E-3</v>
      </c>
      <c r="I353" s="27">
        <v>0.175794956</v>
      </c>
      <c r="Q353" s="13"/>
    </row>
    <row r="354" spans="1:17">
      <c r="A354" t="s">
        <v>183</v>
      </c>
      <c r="B354" t="str">
        <f>VLOOKUP(A354,PW!A:C,3,0)</f>
        <v>Drug metabolism</v>
      </c>
      <c r="C354" t="str">
        <f t="shared" si="5"/>
        <v>TPMT-&gt;HPRT1</v>
      </c>
      <c r="D354" t="s">
        <v>594</v>
      </c>
      <c r="E354" t="s">
        <v>398</v>
      </c>
      <c r="F354" s="27">
        <v>-0.16332493000000001</v>
      </c>
      <c r="G354" s="27">
        <v>0.16332493000000001</v>
      </c>
      <c r="H354" s="27">
        <v>2.6333428999999998E-2</v>
      </c>
      <c r="I354" s="27">
        <v>0.29035814700000001</v>
      </c>
    </row>
    <row r="355" spans="1:17">
      <c r="A355" t="s">
        <v>170</v>
      </c>
      <c r="B355" t="str">
        <f>VLOOKUP(A355,PW!A:C,3,0)</f>
        <v>One carbon pool by f</v>
      </c>
      <c r="C355" t="str">
        <f t="shared" si="5"/>
        <v>MTHFD1L-&gt;MTHFD2</v>
      </c>
      <c r="D355" t="s">
        <v>595</v>
      </c>
      <c r="E355" t="s">
        <v>424</v>
      </c>
      <c r="F355" s="27">
        <v>0.16293654299999999</v>
      </c>
      <c r="G355" s="27">
        <v>0.16293654299999999</v>
      </c>
      <c r="H355" s="27">
        <v>3.5487680000000001E-2</v>
      </c>
      <c r="I355" s="27">
        <v>0.31350072699999998</v>
      </c>
    </row>
    <row r="356" spans="1:17">
      <c r="A356" t="s">
        <v>97</v>
      </c>
      <c r="B356" t="str">
        <f>VLOOKUP(A356,PW!A:C,3,0)</f>
        <v>Fatty acid biosynthesis</v>
      </c>
      <c r="C356" t="str">
        <f t="shared" si="5"/>
        <v>FASN-&gt;MECR</v>
      </c>
      <c r="D356" t="s">
        <v>596</v>
      </c>
      <c r="E356" t="s">
        <v>506</v>
      </c>
      <c r="F356" s="27">
        <v>-0.16250598899999999</v>
      </c>
      <c r="G356" s="27">
        <v>0.16250598899999999</v>
      </c>
      <c r="H356" s="27">
        <v>2.0645618000000001E-2</v>
      </c>
      <c r="I356" s="27">
        <v>0.25818887899999998</v>
      </c>
      <c r="Q356" s="14"/>
    </row>
    <row r="357" spans="1:17">
      <c r="A357" t="s">
        <v>200</v>
      </c>
      <c r="B357" t="str">
        <f>VLOOKUP(A357,PW!A:C,3,0)</f>
        <v>Parkinson disease ge</v>
      </c>
      <c r="C357" t="str">
        <f t="shared" si="5"/>
        <v>NFE2L2-&gt;TXN2</v>
      </c>
      <c r="D357" t="s">
        <v>427</v>
      </c>
      <c r="E357" t="s">
        <v>597</v>
      </c>
      <c r="F357" s="27">
        <v>0.16146231799999999</v>
      </c>
      <c r="G357" s="27">
        <v>0.16146231799999999</v>
      </c>
      <c r="H357" s="27">
        <v>4.9794259E-2</v>
      </c>
      <c r="I357" s="27">
        <v>0.35486563799999998</v>
      </c>
    </row>
    <row r="358" spans="1:17">
      <c r="A358" t="s">
        <v>41</v>
      </c>
      <c r="B358" t="str">
        <f>VLOOKUP(A358,PW!A:C,3,0)</f>
        <v>Fluid shear stress a</v>
      </c>
      <c r="C358" t="str">
        <f t="shared" si="5"/>
        <v>NFE2L2-&gt;TXN2</v>
      </c>
      <c r="D358" t="s">
        <v>427</v>
      </c>
      <c r="E358" t="s">
        <v>597</v>
      </c>
      <c r="F358" s="27">
        <v>0.16146231799999999</v>
      </c>
      <c r="G358" s="27">
        <v>0.16146231799999999</v>
      </c>
      <c r="H358" s="27">
        <v>4.9794259E-2</v>
      </c>
      <c r="I358" s="27">
        <v>0.35486563799999998</v>
      </c>
    </row>
    <row r="359" spans="1:17">
      <c r="A359" t="s">
        <v>169</v>
      </c>
      <c r="B359" t="str">
        <f>VLOOKUP(A359,PW!A:C,3,0)</f>
        <v>Pathways in cancer</v>
      </c>
      <c r="C359" t="str">
        <f t="shared" si="5"/>
        <v>EPAS1-&gt;TGFA</v>
      </c>
      <c r="D359" t="s">
        <v>598</v>
      </c>
      <c r="E359" t="s">
        <v>599</v>
      </c>
      <c r="F359" s="27">
        <v>-0.16130975</v>
      </c>
      <c r="G359" s="27">
        <v>0.16130975</v>
      </c>
      <c r="H359" s="27">
        <v>6.2911429999999999E-3</v>
      </c>
      <c r="I359" s="27">
        <v>0.165613279</v>
      </c>
    </row>
    <row r="360" spans="1:17">
      <c r="A360" t="s">
        <v>205</v>
      </c>
      <c r="B360" t="str">
        <f>VLOOKUP(A360,PW!A:C,3,0)</f>
        <v>Renal cell carcinoma</v>
      </c>
      <c r="C360" t="str">
        <f t="shared" si="5"/>
        <v>EPAS1-&gt;TGFA</v>
      </c>
      <c r="D360" t="s">
        <v>598</v>
      </c>
      <c r="E360" t="s">
        <v>599</v>
      </c>
      <c r="F360" s="27">
        <v>-0.16130975</v>
      </c>
      <c r="G360" s="27">
        <v>0.16130975</v>
      </c>
      <c r="H360" s="27">
        <v>6.2911429999999999E-3</v>
      </c>
      <c r="I360" s="27">
        <v>0.165613279</v>
      </c>
    </row>
    <row r="361" spans="1:17">
      <c r="A361" t="s">
        <v>138</v>
      </c>
      <c r="B361" t="str">
        <f>VLOOKUP(A361,PW!A:C,3,0)</f>
        <v>Amino sugar and nucleotide</v>
      </c>
      <c r="C361" t="str">
        <f t="shared" si="5"/>
        <v>GNPNAT1-&gt;PGM3</v>
      </c>
      <c r="D361" t="s">
        <v>600</v>
      </c>
      <c r="E361" t="s">
        <v>601</v>
      </c>
      <c r="F361" s="27">
        <v>-0.16060265000000001</v>
      </c>
      <c r="G361" s="27">
        <v>0.16060265000000001</v>
      </c>
      <c r="H361" s="27">
        <v>3.8237500000000001E-4</v>
      </c>
      <c r="I361" s="27">
        <v>4.2726105E-2</v>
      </c>
    </row>
    <row r="362" spans="1:17">
      <c r="A362" t="s">
        <v>101</v>
      </c>
      <c r="B362" t="str">
        <f>VLOOKUP(A362,PW!A:C,3,0)</f>
        <v>Purine metabolism</v>
      </c>
      <c r="C362" t="str">
        <f t="shared" si="5"/>
        <v>CANT1-&gt;NME6</v>
      </c>
      <c r="D362" t="s">
        <v>432</v>
      </c>
      <c r="E362" t="s">
        <v>285</v>
      </c>
      <c r="F362" s="27">
        <v>-0.16016875999999999</v>
      </c>
      <c r="G362" s="27">
        <v>0.16016875999999999</v>
      </c>
      <c r="H362" s="27">
        <v>4.0713379999999999E-3</v>
      </c>
      <c r="I362" s="27">
        <v>0.13665022499999999</v>
      </c>
      <c r="Q362" s="13"/>
    </row>
    <row r="363" spans="1:17">
      <c r="A363" t="s">
        <v>171</v>
      </c>
      <c r="B363" t="str">
        <f>VLOOKUP(A363,PW!A:C,3,0)</f>
        <v>Apoptosis</v>
      </c>
      <c r="C363" t="str">
        <f t="shared" si="5"/>
        <v>JUN-&gt;TP53</v>
      </c>
      <c r="D363" t="s">
        <v>367</v>
      </c>
      <c r="E363" t="s">
        <v>315</v>
      </c>
      <c r="F363" s="27">
        <v>0.16016061500000001</v>
      </c>
      <c r="G363" s="27">
        <v>0.16016061500000001</v>
      </c>
      <c r="H363" s="27">
        <v>1.8672830000000001E-2</v>
      </c>
      <c r="I363" s="27">
        <v>0.25378521500000001</v>
      </c>
    </row>
    <row r="364" spans="1:17">
      <c r="A364" t="s">
        <v>166</v>
      </c>
      <c r="B364" t="str">
        <f>VLOOKUP(A364,PW!A:C,3,0)</f>
        <v>Propanoate metabolis</v>
      </c>
      <c r="C364" t="str">
        <f t="shared" si="5"/>
        <v>ACOX1-&gt;ECHDC1</v>
      </c>
      <c r="D364" t="s">
        <v>552</v>
      </c>
      <c r="E364" t="s">
        <v>602</v>
      </c>
      <c r="F364" s="27">
        <v>-0.159847032</v>
      </c>
      <c r="G364" s="27">
        <v>0.159847032</v>
      </c>
      <c r="H364" s="27">
        <v>1.0582087E-2</v>
      </c>
      <c r="I364" s="27">
        <v>0.208057667</v>
      </c>
    </row>
    <row r="365" spans="1:17">
      <c r="A365" t="s">
        <v>92</v>
      </c>
      <c r="B365" t="str">
        <f>VLOOKUP(A365,PW!A:C,3,0)</f>
        <v>Glycolysis</v>
      </c>
      <c r="C365" t="str">
        <f t="shared" si="5"/>
        <v>GAPDH-&gt;PGK1</v>
      </c>
      <c r="D365" t="s">
        <v>544</v>
      </c>
      <c r="E365" t="s">
        <v>603</v>
      </c>
      <c r="F365" s="27">
        <v>-0.15913962400000001</v>
      </c>
      <c r="G365" s="27">
        <v>0.15913962400000001</v>
      </c>
      <c r="H365" s="27">
        <v>2.3048360000000002E-3</v>
      </c>
      <c r="I365" s="27">
        <v>0.10805922900000001</v>
      </c>
    </row>
    <row r="366" spans="1:17">
      <c r="A366" t="s">
        <v>160</v>
      </c>
      <c r="B366" t="str">
        <f>VLOOKUP(A366,PW!A:C,3,0)</f>
        <v>Glycosphingolipid bi</v>
      </c>
      <c r="C366" t="str">
        <f t="shared" si="5"/>
        <v>NAGA-&gt;HEXA</v>
      </c>
      <c r="D366" t="s">
        <v>604</v>
      </c>
      <c r="E366" t="s">
        <v>500</v>
      </c>
      <c r="F366" s="27">
        <v>0.158934466</v>
      </c>
      <c r="G366" s="27">
        <v>0.158934466</v>
      </c>
      <c r="H366" s="27">
        <v>6.2797160000000003E-3</v>
      </c>
      <c r="I366" s="27">
        <v>0.165613279</v>
      </c>
    </row>
    <row r="367" spans="1:17">
      <c r="A367" t="s">
        <v>124</v>
      </c>
      <c r="B367" t="str">
        <f>VLOOKUP(A367,PW!A:C,3,0)</f>
        <v>Selenocompound metabolism</v>
      </c>
      <c r="C367" t="str">
        <f t="shared" si="5"/>
        <v>SEPHS2-&gt;SCLY</v>
      </c>
      <c r="D367" t="s">
        <v>605</v>
      </c>
      <c r="E367" t="s">
        <v>606</v>
      </c>
      <c r="F367" s="27">
        <v>0.15864119800000001</v>
      </c>
      <c r="G367" s="27">
        <v>0.15864119800000001</v>
      </c>
      <c r="H367" s="27">
        <v>3.6972497E-2</v>
      </c>
      <c r="I367" s="27">
        <v>0.31986945100000003</v>
      </c>
    </row>
    <row r="368" spans="1:17">
      <c r="A368" t="s">
        <v>177</v>
      </c>
      <c r="B368" t="str">
        <f>VLOOKUP(A368,PW!A:C,3,0)</f>
        <v>Porphyrin and chloro</v>
      </c>
      <c r="C368" t="str">
        <f t="shared" si="5"/>
        <v>PPOX-&gt;CPOX</v>
      </c>
      <c r="D368" t="s">
        <v>607</v>
      </c>
      <c r="E368" t="s">
        <v>608</v>
      </c>
      <c r="F368" s="27">
        <v>-0.15817300100000001</v>
      </c>
      <c r="G368" s="27">
        <v>0.15817300100000001</v>
      </c>
      <c r="H368" s="27">
        <v>1.9049442E-2</v>
      </c>
      <c r="I368" s="27">
        <v>0.25378521500000001</v>
      </c>
    </row>
    <row r="369" spans="1:17">
      <c r="A369" t="s">
        <v>107</v>
      </c>
      <c r="B369" t="str">
        <f>VLOOKUP(A369,PW!A:C,3,0)</f>
        <v>Cysteine and methionine</v>
      </c>
      <c r="C369" t="str">
        <f t="shared" si="5"/>
        <v>MAT2B-&gt;AMD1</v>
      </c>
      <c r="D369" t="s">
        <v>609</v>
      </c>
      <c r="E369" t="s">
        <v>282</v>
      </c>
      <c r="F369" s="27">
        <v>0.15520489900000001</v>
      </c>
      <c r="G369" s="27">
        <v>0.15520489900000001</v>
      </c>
      <c r="H369" s="27">
        <v>3.7050531999999997E-2</v>
      </c>
      <c r="I369" s="27">
        <v>0.31986945100000003</v>
      </c>
    </row>
    <row r="370" spans="1:17">
      <c r="A370" t="s">
        <v>134</v>
      </c>
      <c r="B370" t="str">
        <f>VLOOKUP(A370,PW!A:C,3,0)</f>
        <v>Various types of N‑glycan</v>
      </c>
      <c r="C370" t="str">
        <f t="shared" si="5"/>
        <v>MAN2A2-&gt;FUT8</v>
      </c>
      <c r="D370" t="s">
        <v>610</v>
      </c>
      <c r="E370" t="s">
        <v>422</v>
      </c>
      <c r="F370" s="27">
        <v>0.154963727</v>
      </c>
      <c r="G370" s="27">
        <v>0.154963727</v>
      </c>
      <c r="H370" s="27">
        <v>3.0329413E-2</v>
      </c>
      <c r="I370" s="27">
        <v>0.30366626499999999</v>
      </c>
    </row>
    <row r="371" spans="1:17">
      <c r="A371" t="s">
        <v>146</v>
      </c>
      <c r="B371" t="str">
        <f>VLOOKUP(A371,PW!A:C,3,0)</f>
        <v>Glycerolipid metabol</v>
      </c>
      <c r="C371" t="str">
        <f t="shared" si="5"/>
        <v>CEL-&gt;MGLL</v>
      </c>
      <c r="D371" t="s">
        <v>611</v>
      </c>
      <c r="E371" t="s">
        <v>287</v>
      </c>
      <c r="F371" s="27">
        <v>-0.15341348599999999</v>
      </c>
      <c r="G371" s="27">
        <v>0.15341348599999999</v>
      </c>
      <c r="H371" s="27">
        <v>2.7422755E-2</v>
      </c>
      <c r="I371" s="27">
        <v>0.29060997999999999</v>
      </c>
    </row>
    <row r="372" spans="1:17">
      <c r="A372" t="s">
        <v>158</v>
      </c>
      <c r="B372" t="str">
        <f>VLOOKUP(A372,PW!A:C,3,0)</f>
        <v>Glycosphingolipid bi</v>
      </c>
      <c r="C372" t="str">
        <f t="shared" si="5"/>
        <v>B4GALT2-&gt;B3GNT5</v>
      </c>
      <c r="D372" t="s">
        <v>612</v>
      </c>
      <c r="E372" t="s">
        <v>613</v>
      </c>
      <c r="F372" s="27">
        <v>0.153292759</v>
      </c>
      <c r="G372" s="27">
        <v>0.153292759</v>
      </c>
      <c r="H372" s="27">
        <v>4.7606590999999997E-2</v>
      </c>
      <c r="I372" s="27">
        <v>0.350762782</v>
      </c>
    </row>
    <row r="373" spans="1:17">
      <c r="A373" t="s">
        <v>99</v>
      </c>
      <c r="B373" t="str">
        <f>VLOOKUP(A373,PW!A:C,3,0)</f>
        <v>Fatty acid degradation</v>
      </c>
      <c r="C373" t="str">
        <f t="shared" si="5"/>
        <v>ACADM-&gt;CPT2</v>
      </c>
      <c r="D373" t="s">
        <v>587</v>
      </c>
      <c r="E373" t="s">
        <v>614</v>
      </c>
      <c r="F373" s="27">
        <v>-0.15273735999999999</v>
      </c>
      <c r="G373" s="27">
        <v>0.15273735999999999</v>
      </c>
      <c r="H373" s="27">
        <v>3.6339530000000002E-2</v>
      </c>
      <c r="I373" s="27">
        <v>0.31629926600000002</v>
      </c>
      <c r="Q373" s="14"/>
    </row>
    <row r="374" spans="1:17">
      <c r="A374" t="s">
        <v>189</v>
      </c>
      <c r="B374" t="str">
        <f>VLOOKUP(A374,PW!A:C,3,0)</f>
        <v>Osteoclast different</v>
      </c>
      <c r="C374" t="str">
        <f t="shared" si="5"/>
        <v>FOS-&gt;CTSK</v>
      </c>
      <c r="D374" t="s">
        <v>319</v>
      </c>
      <c r="E374" t="s">
        <v>442</v>
      </c>
      <c r="F374" s="27">
        <v>-0.152077185</v>
      </c>
      <c r="G374" s="27">
        <v>0.152077185</v>
      </c>
      <c r="H374" s="27">
        <v>3.0191658E-2</v>
      </c>
      <c r="I374" s="27">
        <v>0.30321714799999999</v>
      </c>
    </row>
    <row r="375" spans="1:17">
      <c r="A375" t="s">
        <v>97</v>
      </c>
      <c r="B375" t="str">
        <f>VLOOKUP(A375,PW!A:C,3,0)</f>
        <v>Fatty acid biosynthesis</v>
      </c>
      <c r="C375" t="str">
        <f t="shared" si="5"/>
        <v>MCAT-&gt;ACACA</v>
      </c>
      <c r="D375" t="s">
        <v>458</v>
      </c>
      <c r="E375" t="s">
        <v>425</v>
      </c>
      <c r="F375" s="27">
        <v>-0.15202301100000001</v>
      </c>
      <c r="G375" s="27">
        <v>0.15202301100000001</v>
      </c>
      <c r="H375" s="27">
        <v>2.2634215999999999E-2</v>
      </c>
      <c r="I375" s="27">
        <v>0.27761394</v>
      </c>
      <c r="Q375" s="14"/>
    </row>
    <row r="376" spans="1:17">
      <c r="A376" t="s">
        <v>121</v>
      </c>
      <c r="B376" t="str">
        <f>VLOOKUP(A376,PW!A:C,3,0)</f>
        <v>β-Alanine metabolism</v>
      </c>
      <c r="C376" t="str">
        <f t="shared" si="5"/>
        <v>UPB1-&gt;CNDP2</v>
      </c>
      <c r="D376" t="s">
        <v>615</v>
      </c>
      <c r="E376" t="s">
        <v>382</v>
      </c>
      <c r="F376" s="27">
        <v>0.15054763900000001</v>
      </c>
      <c r="G376" s="27">
        <v>0.15054763900000001</v>
      </c>
      <c r="H376" s="27">
        <v>9.4182100000000002E-4</v>
      </c>
      <c r="I376" s="27">
        <v>6.2736833000000006E-2</v>
      </c>
    </row>
    <row r="377" spans="1:17">
      <c r="A377" t="s">
        <v>140</v>
      </c>
      <c r="B377" t="str">
        <f>VLOOKUP(A377,PW!A:C,3,0)</f>
        <v>Glycosaminoglycan degradation</v>
      </c>
      <c r="C377" t="str">
        <f t="shared" si="5"/>
        <v>IDUA-&gt;SGSH</v>
      </c>
      <c r="D377" t="s">
        <v>616</v>
      </c>
      <c r="E377" t="s">
        <v>617</v>
      </c>
      <c r="F377" s="27">
        <v>0.15048218299999999</v>
      </c>
      <c r="G377" s="27">
        <v>0.15048218299999999</v>
      </c>
      <c r="H377" s="27">
        <v>3.5366847E-2</v>
      </c>
      <c r="I377" s="27">
        <v>0.31350072699999998</v>
      </c>
    </row>
    <row r="378" spans="1:17">
      <c r="A378" t="s">
        <v>102</v>
      </c>
      <c r="B378" t="str">
        <f>VLOOKUP(A378,PW!A:C,3,0)</f>
        <v>Pyrimidine metabolism</v>
      </c>
      <c r="C378" t="str">
        <f t="shared" si="5"/>
        <v>CTPS1-&gt;NME6</v>
      </c>
      <c r="D378" t="s">
        <v>391</v>
      </c>
      <c r="E378" t="s">
        <v>285</v>
      </c>
      <c r="F378" s="27">
        <v>0.15033063199999999</v>
      </c>
      <c r="G378" s="27">
        <v>0.15033063199999999</v>
      </c>
      <c r="H378" s="27">
        <v>1.5021975E-2</v>
      </c>
      <c r="I378" s="27">
        <v>0.23038882099999999</v>
      </c>
      <c r="Q378" s="13"/>
    </row>
    <row r="379" spans="1:17">
      <c r="A379" t="s">
        <v>102</v>
      </c>
      <c r="B379" t="str">
        <f>VLOOKUP(A379,PW!A:C,3,0)</f>
        <v>Pyrimidine metabolism</v>
      </c>
      <c r="C379" t="str">
        <f t="shared" si="5"/>
        <v>NT5C1B-RDH14-&gt;DCTD</v>
      </c>
      <c r="D379" t="s">
        <v>290</v>
      </c>
      <c r="E379" t="s">
        <v>618</v>
      </c>
      <c r="F379" s="27">
        <v>-0.148770703</v>
      </c>
      <c r="G379" s="27">
        <v>0.148770703</v>
      </c>
      <c r="H379" s="27">
        <v>2.5340750000000002E-3</v>
      </c>
      <c r="I379" s="27">
        <v>0.113304379</v>
      </c>
      <c r="Q379" s="13"/>
    </row>
    <row r="380" spans="1:17">
      <c r="A380" t="s">
        <v>109</v>
      </c>
      <c r="B380" t="str">
        <f>VLOOKUP(A380,PW!A:C,3,0)</f>
        <v>Valine, leucine</v>
      </c>
      <c r="C380" t="str">
        <f t="shared" si="5"/>
        <v>ECHS1-&gt;IVD</v>
      </c>
      <c r="D380" t="s">
        <v>393</v>
      </c>
      <c r="E380" t="s">
        <v>571</v>
      </c>
      <c r="F380" s="27">
        <v>-0.148592795</v>
      </c>
      <c r="G380" s="27">
        <v>0.148592795</v>
      </c>
      <c r="H380" s="27">
        <v>4.1463862999999997E-2</v>
      </c>
      <c r="I380" s="27">
        <v>0.33523462199999998</v>
      </c>
    </row>
    <row r="381" spans="1:17">
      <c r="A381" t="s">
        <v>158</v>
      </c>
      <c r="B381" t="str">
        <f>VLOOKUP(A381,PW!A:C,3,0)</f>
        <v>Glycosphingolipid bi</v>
      </c>
      <c r="C381" t="str">
        <f t="shared" si="5"/>
        <v>GCNT2-&gt;B4GALT1</v>
      </c>
      <c r="D381" t="s">
        <v>434</v>
      </c>
      <c r="E381" t="s">
        <v>278</v>
      </c>
      <c r="F381" s="27">
        <v>-0.147547187</v>
      </c>
      <c r="G381" s="27">
        <v>0.147547187</v>
      </c>
      <c r="H381" s="27">
        <v>3.4483864000000003E-2</v>
      </c>
      <c r="I381" s="27">
        <v>0.30921794400000002</v>
      </c>
    </row>
    <row r="382" spans="1:17">
      <c r="A382" t="s">
        <v>101</v>
      </c>
      <c r="B382" t="str">
        <f>VLOOKUP(A382,PW!A:C,3,0)</f>
        <v>Purine metabolism</v>
      </c>
      <c r="C382" t="str">
        <f t="shared" si="5"/>
        <v>GUK1-&gt;NT5C1B-RDH14</v>
      </c>
      <c r="D382" t="s">
        <v>619</v>
      </c>
      <c r="E382" t="s">
        <v>290</v>
      </c>
      <c r="F382" s="27">
        <v>-0.14334642</v>
      </c>
      <c r="G382" s="27">
        <v>0.14334642</v>
      </c>
      <c r="H382" s="27">
        <v>9.7543390000000008E-3</v>
      </c>
      <c r="I382" s="27">
        <v>0.201507352</v>
      </c>
      <c r="Q382" s="13"/>
    </row>
    <row r="383" spans="1:17">
      <c r="A383" t="s">
        <v>156</v>
      </c>
      <c r="B383" t="str">
        <f>VLOOKUP(A383,PW!A:C,3,0)</f>
        <v>Sphingolipid metabol</v>
      </c>
      <c r="C383" t="str">
        <f t="shared" si="5"/>
        <v>UGT8-&gt;SGPP2</v>
      </c>
      <c r="D383" t="s">
        <v>358</v>
      </c>
      <c r="E383" t="s">
        <v>357</v>
      </c>
      <c r="F383" s="27">
        <v>0.14317654199999999</v>
      </c>
      <c r="G383" s="27">
        <v>0.14317654199999999</v>
      </c>
      <c r="H383" s="27">
        <v>9.9039550000000007E-3</v>
      </c>
      <c r="I383" s="27">
        <v>0.20331138300000001</v>
      </c>
    </row>
    <row r="384" spans="1:17">
      <c r="A384" t="s">
        <v>156</v>
      </c>
      <c r="B384" t="str">
        <f>VLOOKUP(A384,PW!A:C,3,0)</f>
        <v>Sphingolipid metabol</v>
      </c>
      <c r="C384" t="str">
        <f t="shared" si="5"/>
        <v>UGT8-&gt;UGCG</v>
      </c>
      <c r="D384" t="s">
        <v>358</v>
      </c>
      <c r="E384" t="s">
        <v>620</v>
      </c>
      <c r="F384" s="27">
        <v>0.14302182599999999</v>
      </c>
      <c r="G384" s="27">
        <v>0.14302182599999999</v>
      </c>
      <c r="H384" s="27">
        <v>1.6977104E-2</v>
      </c>
      <c r="I384" s="27">
        <v>0.247380661</v>
      </c>
    </row>
    <row r="385" spans="1:17">
      <c r="A385" t="s">
        <v>189</v>
      </c>
      <c r="B385" t="str">
        <f>VLOOKUP(A385,PW!A:C,3,0)</f>
        <v>Osteoclast different</v>
      </c>
      <c r="C385" t="str">
        <f t="shared" si="5"/>
        <v>PPARG-&gt;FOS</v>
      </c>
      <c r="D385" t="s">
        <v>378</v>
      </c>
      <c r="E385" t="s">
        <v>319</v>
      </c>
      <c r="F385" s="27">
        <v>-0.14039237900000001</v>
      </c>
      <c r="G385" s="27">
        <v>0.14039237900000001</v>
      </c>
      <c r="H385" s="27">
        <v>1.946082E-3</v>
      </c>
      <c r="I385" s="27">
        <v>0.102451784</v>
      </c>
    </row>
    <row r="386" spans="1:17">
      <c r="A386" t="s">
        <v>187</v>
      </c>
      <c r="B386" t="str">
        <f>VLOOKUP(A386,PW!A:C,3,0)</f>
        <v>Wnt signaling pathwa</v>
      </c>
      <c r="C386" t="str">
        <f t="shared" ref="C386:C449" si="6">D386&amp;"-&gt;"&amp;E386</f>
        <v>LEF1-&gt;MYC</v>
      </c>
      <c r="D386" t="s">
        <v>621</v>
      </c>
      <c r="E386" t="s">
        <v>509</v>
      </c>
      <c r="F386" s="27">
        <v>0.13863447800000001</v>
      </c>
      <c r="G386" s="27">
        <v>0.13863447800000001</v>
      </c>
      <c r="H386" s="27">
        <v>3.7620999999999998E-4</v>
      </c>
      <c r="I386" s="27">
        <v>4.2726105E-2</v>
      </c>
    </row>
    <row r="387" spans="1:17">
      <c r="A387" t="s">
        <v>159</v>
      </c>
      <c r="B387" t="str">
        <f>VLOOKUP(A387,PW!A:C,3,0)</f>
        <v>Salmonella infection</v>
      </c>
      <c r="C387" t="str">
        <f t="shared" si="6"/>
        <v>LEF1-&gt;MYC</v>
      </c>
      <c r="D387" t="s">
        <v>621</v>
      </c>
      <c r="E387" t="s">
        <v>509</v>
      </c>
      <c r="F387" s="27">
        <v>0.13863447800000001</v>
      </c>
      <c r="G387" s="27">
        <v>0.13863447800000001</v>
      </c>
      <c r="H387" s="27">
        <v>3.7620999999999998E-4</v>
      </c>
      <c r="I387" s="27">
        <v>4.2726105E-2</v>
      </c>
    </row>
    <row r="388" spans="1:17">
      <c r="A388" t="s">
        <v>155</v>
      </c>
      <c r="B388" t="str">
        <f>VLOOKUP(A388,PW!A:C,3,0)</f>
        <v>Kaposi sarcoma‑assoc</v>
      </c>
      <c r="C388" t="str">
        <f t="shared" si="6"/>
        <v>LEF1-&gt;MYC</v>
      </c>
      <c r="D388" t="s">
        <v>621</v>
      </c>
      <c r="E388" t="s">
        <v>509</v>
      </c>
      <c r="F388" s="27">
        <v>0.13863447800000001</v>
      </c>
      <c r="G388" s="27">
        <v>0.13863447800000001</v>
      </c>
      <c r="H388" s="27">
        <v>3.7620999999999998E-4</v>
      </c>
      <c r="I388" s="27">
        <v>4.2726105E-2</v>
      </c>
    </row>
    <row r="389" spans="1:17">
      <c r="A389" t="s">
        <v>169</v>
      </c>
      <c r="B389" t="str">
        <f>VLOOKUP(A389,PW!A:C,3,0)</f>
        <v>Pathways in cancer</v>
      </c>
      <c r="C389" t="str">
        <f t="shared" si="6"/>
        <v>LEF1-&gt;MYC</v>
      </c>
      <c r="D389" t="s">
        <v>621</v>
      </c>
      <c r="E389" t="s">
        <v>509</v>
      </c>
      <c r="F389" s="27">
        <v>0.13863447800000001</v>
      </c>
      <c r="G389" s="27">
        <v>0.13863447800000001</v>
      </c>
      <c r="H389" s="27">
        <v>3.7620999999999998E-4</v>
      </c>
      <c r="I389" s="27">
        <v>4.2726105E-2</v>
      </c>
    </row>
    <row r="390" spans="1:17">
      <c r="A390" t="s">
        <v>196</v>
      </c>
      <c r="B390" t="str">
        <f>VLOOKUP(A390,PW!A:C,3,0)</f>
        <v>Bladder cancer</v>
      </c>
      <c r="C390" t="str">
        <f t="shared" si="6"/>
        <v>LEF1-&gt;MYC</v>
      </c>
      <c r="D390" t="s">
        <v>621</v>
      </c>
      <c r="E390" t="s">
        <v>509</v>
      </c>
      <c r="F390" s="27">
        <v>0.13863447800000001</v>
      </c>
      <c r="G390" s="27">
        <v>0.13863447800000001</v>
      </c>
      <c r="H390" s="27">
        <v>3.7620999999999998E-4</v>
      </c>
      <c r="I390" s="27">
        <v>4.2726105E-2</v>
      </c>
    </row>
    <row r="391" spans="1:17">
      <c r="A391" t="s">
        <v>206</v>
      </c>
      <c r="B391" t="str">
        <f>VLOOKUP(A391,PW!A:C,3,0)</f>
        <v>Endometrial cancer</v>
      </c>
      <c r="C391" t="str">
        <f t="shared" si="6"/>
        <v>LEF1-&gt;MYC</v>
      </c>
      <c r="D391" t="s">
        <v>621</v>
      </c>
      <c r="E391" t="s">
        <v>509</v>
      </c>
      <c r="F391" s="27">
        <v>0.13863447800000001</v>
      </c>
      <c r="G391" s="27">
        <v>0.13863447800000001</v>
      </c>
      <c r="H391" s="27">
        <v>3.7620999999999998E-4</v>
      </c>
      <c r="I391" s="27">
        <v>4.2726105E-2</v>
      </c>
    </row>
    <row r="392" spans="1:17">
      <c r="A392" t="s">
        <v>207</v>
      </c>
      <c r="B392" t="str">
        <f>VLOOKUP(A392,PW!A:C,3,0)</f>
        <v>Thyroid cancer – Hom</v>
      </c>
      <c r="C392" t="str">
        <f t="shared" si="6"/>
        <v>LEF1-&gt;MYC</v>
      </c>
      <c r="D392" t="s">
        <v>621</v>
      </c>
      <c r="E392" t="s">
        <v>509</v>
      </c>
      <c r="F392" s="27">
        <v>0.13863447800000001</v>
      </c>
      <c r="G392" s="27">
        <v>0.13863447800000001</v>
      </c>
      <c r="H392" s="27">
        <v>3.7620999999999998E-4</v>
      </c>
      <c r="I392" s="27">
        <v>4.2726105E-2</v>
      </c>
    </row>
    <row r="393" spans="1:17">
      <c r="A393" t="s">
        <v>208</v>
      </c>
      <c r="B393" t="str">
        <f>VLOOKUP(A393,PW!A:C,3,0)</f>
        <v>Breast cancer – Homo</v>
      </c>
      <c r="C393" t="str">
        <f t="shared" si="6"/>
        <v>LEF1-&gt;MYC</v>
      </c>
      <c r="D393" t="s">
        <v>621</v>
      </c>
      <c r="E393" t="s">
        <v>509</v>
      </c>
      <c r="F393" s="27">
        <v>0.13863447800000001</v>
      </c>
      <c r="G393" s="27">
        <v>0.13863447800000001</v>
      </c>
      <c r="H393" s="27">
        <v>3.7620999999999998E-4</v>
      </c>
      <c r="I393" s="27">
        <v>4.2726105E-2</v>
      </c>
    </row>
    <row r="394" spans="1:17">
      <c r="A394" t="s">
        <v>195</v>
      </c>
      <c r="B394" t="str">
        <f>VLOOKUP(A394,PW!A:C,3,0)</f>
        <v>Hepatocellular carci</v>
      </c>
      <c r="C394" t="str">
        <f t="shared" si="6"/>
        <v>LEF1-&gt;MYC</v>
      </c>
      <c r="D394" t="s">
        <v>621</v>
      </c>
      <c r="E394" t="s">
        <v>509</v>
      </c>
      <c r="F394" s="27">
        <v>0.13863447800000001</v>
      </c>
      <c r="G394" s="27">
        <v>0.13863447800000001</v>
      </c>
      <c r="H394" s="27">
        <v>3.7620999999999998E-4</v>
      </c>
      <c r="I394" s="27">
        <v>4.2726105E-2</v>
      </c>
    </row>
    <row r="395" spans="1:17">
      <c r="A395" t="s">
        <v>209</v>
      </c>
      <c r="B395" t="str">
        <f>VLOOKUP(A395,PW!A:C,3,0)</f>
        <v>Gastric cancer – Hom</v>
      </c>
      <c r="C395" t="str">
        <f t="shared" si="6"/>
        <v>LEF1-&gt;MYC</v>
      </c>
      <c r="D395" t="s">
        <v>621</v>
      </c>
      <c r="E395" t="s">
        <v>509</v>
      </c>
      <c r="F395" s="27">
        <v>0.13863447800000001</v>
      </c>
      <c r="G395" s="27">
        <v>0.13863447800000001</v>
      </c>
      <c r="H395" s="27">
        <v>3.7620999999999998E-4</v>
      </c>
      <c r="I395" s="27">
        <v>4.2726105E-2</v>
      </c>
    </row>
    <row r="396" spans="1:17">
      <c r="A396" t="s">
        <v>138</v>
      </c>
      <c r="B396" t="str">
        <f>VLOOKUP(A396,PW!A:C,3,0)</f>
        <v>Amino sugar and nucleotide</v>
      </c>
      <c r="C396" t="str">
        <f t="shared" si="6"/>
        <v>AMDHD2-&gt;GFPT1</v>
      </c>
      <c r="D396" t="s">
        <v>503</v>
      </c>
      <c r="E396" t="s">
        <v>622</v>
      </c>
      <c r="F396" s="27">
        <v>-0.137967164</v>
      </c>
      <c r="G396" s="27">
        <v>0.137967164</v>
      </c>
      <c r="H396" s="27">
        <v>4.1470776000000001E-2</v>
      </c>
      <c r="I396" s="27">
        <v>0.33523462199999998</v>
      </c>
    </row>
    <row r="397" spans="1:17">
      <c r="A397" t="s">
        <v>204</v>
      </c>
      <c r="B397" t="str">
        <f>VLOOKUP(A397,PW!A:C,3,0)</f>
        <v>Transcriptional misr</v>
      </c>
      <c r="C397" t="str">
        <f t="shared" si="6"/>
        <v>SPI1-&gt;ITGAM</v>
      </c>
      <c r="D397" t="s">
        <v>537</v>
      </c>
      <c r="E397" t="s">
        <v>623</v>
      </c>
      <c r="F397" s="27">
        <v>-0.13755479900000001</v>
      </c>
      <c r="G397" s="27">
        <v>0.13755479900000001</v>
      </c>
      <c r="H397" s="27">
        <v>3.2910333E-2</v>
      </c>
      <c r="I397" s="27">
        <v>0.30674497099999998</v>
      </c>
    </row>
    <row r="398" spans="1:17">
      <c r="A398" t="s">
        <v>168</v>
      </c>
      <c r="B398" t="str">
        <f>VLOOKUP(A398,PW!A:C,3,0)</f>
        <v>Butanoate metabolism</v>
      </c>
      <c r="C398" t="str">
        <f t="shared" si="6"/>
        <v>OXCT1-&gt;ACAT1</v>
      </c>
      <c r="D398" t="s">
        <v>483</v>
      </c>
      <c r="E398" t="s">
        <v>467</v>
      </c>
      <c r="F398" s="27">
        <v>0.133849417</v>
      </c>
      <c r="G398" s="27">
        <v>0.133849417</v>
      </c>
      <c r="H398" s="27">
        <v>7.4988989999999998E-3</v>
      </c>
      <c r="I398" s="27">
        <v>0.175246966</v>
      </c>
    </row>
    <row r="399" spans="1:17">
      <c r="A399" t="s">
        <v>92</v>
      </c>
      <c r="B399" t="str">
        <f>VLOOKUP(A399,PW!A:C,3,0)</f>
        <v>Glycolysis</v>
      </c>
      <c r="C399" t="str">
        <f t="shared" si="6"/>
        <v>ALDOA-&gt;TPI1</v>
      </c>
      <c r="D399" t="s">
        <v>443</v>
      </c>
      <c r="E399" t="s">
        <v>385</v>
      </c>
      <c r="F399" s="27">
        <v>-0.131805488</v>
      </c>
      <c r="G399" s="27">
        <v>0.131805488</v>
      </c>
      <c r="H399" s="27">
        <v>2.8603341000000001E-2</v>
      </c>
      <c r="I399" s="27">
        <v>0.29377563800000001</v>
      </c>
    </row>
    <row r="400" spans="1:17">
      <c r="A400" t="s">
        <v>101</v>
      </c>
      <c r="B400" t="str">
        <f>VLOOKUP(A400,PW!A:C,3,0)</f>
        <v>Purine metabolism</v>
      </c>
      <c r="C400" t="str">
        <f t="shared" si="6"/>
        <v>PDE7B-&gt;NT5C1B-RDH14</v>
      </c>
      <c r="D400" t="s">
        <v>624</v>
      </c>
      <c r="E400" t="s">
        <v>290</v>
      </c>
      <c r="F400" s="27">
        <v>-0.13159907100000001</v>
      </c>
      <c r="G400" s="27">
        <v>0.13159907100000001</v>
      </c>
      <c r="H400" s="27">
        <v>1.4772014999999999E-2</v>
      </c>
      <c r="I400" s="27">
        <v>0.23038882099999999</v>
      </c>
      <c r="Q400" s="13"/>
    </row>
    <row r="401" spans="1:17">
      <c r="A401" t="s">
        <v>95</v>
      </c>
      <c r="B401" t="str">
        <f>VLOOKUP(A401,PW!A:C,3,0)</f>
        <v>Fructose &amp; mannose</v>
      </c>
      <c r="C401" t="str">
        <f t="shared" si="6"/>
        <v>KHK-&gt;ALDOA</v>
      </c>
      <c r="D401" t="s">
        <v>439</v>
      </c>
      <c r="E401" t="s">
        <v>443</v>
      </c>
      <c r="F401" s="27">
        <v>0.131400668</v>
      </c>
      <c r="G401" s="27">
        <v>0.131400668</v>
      </c>
      <c r="H401" s="27">
        <v>9.5992200000000003E-3</v>
      </c>
      <c r="I401" s="27">
        <v>0.20084521599999999</v>
      </c>
      <c r="Q401" s="14"/>
    </row>
    <row r="402" spans="1:17">
      <c r="A402" t="s">
        <v>97</v>
      </c>
      <c r="B402" t="str">
        <f>VLOOKUP(A402,PW!A:C,3,0)</f>
        <v>Fatty acid biosynthesis</v>
      </c>
      <c r="C402" t="str">
        <f t="shared" si="6"/>
        <v>OXSM-&gt;CBR4</v>
      </c>
      <c r="D402" t="s">
        <v>394</v>
      </c>
      <c r="E402" t="s">
        <v>625</v>
      </c>
      <c r="F402" s="27">
        <v>0.12534997</v>
      </c>
      <c r="G402" s="27">
        <v>0.12534997</v>
      </c>
      <c r="H402" s="27">
        <v>2.9564955E-2</v>
      </c>
      <c r="I402" s="27">
        <v>0.29968948200000001</v>
      </c>
      <c r="Q402" s="14"/>
    </row>
    <row r="403" spans="1:17">
      <c r="A403" t="s">
        <v>185</v>
      </c>
      <c r="B403" t="str">
        <f>VLOOKUP(A403,PW!A:C,3,0)</f>
        <v>Phosphatidylinositol</v>
      </c>
      <c r="C403" t="str">
        <f t="shared" si="6"/>
        <v>PTEN-&gt;INPP4A</v>
      </c>
      <c r="D403" t="s">
        <v>477</v>
      </c>
      <c r="E403" t="s">
        <v>479</v>
      </c>
      <c r="F403" s="27">
        <v>-0.123529681</v>
      </c>
      <c r="G403" s="27">
        <v>0.123529681</v>
      </c>
      <c r="H403" s="27">
        <v>5.2922790000000004E-3</v>
      </c>
      <c r="I403" s="27">
        <v>0.15847705600000001</v>
      </c>
    </row>
    <row r="404" spans="1:17">
      <c r="A404" t="s">
        <v>107</v>
      </c>
      <c r="B404" t="str">
        <f>VLOOKUP(A404,PW!A:C,3,0)</f>
        <v>Cysteine and methionine</v>
      </c>
      <c r="C404" t="str">
        <f t="shared" si="6"/>
        <v>MTR-&gt;KYAT3</v>
      </c>
      <c r="D404" t="s">
        <v>626</v>
      </c>
      <c r="E404" t="s">
        <v>481</v>
      </c>
      <c r="F404" s="27">
        <v>0.12234406</v>
      </c>
      <c r="G404" s="27">
        <v>0.12234406</v>
      </c>
      <c r="H404" s="27">
        <v>4.5137305000000003E-2</v>
      </c>
      <c r="I404" s="27">
        <v>0.34012037499999997</v>
      </c>
      <c r="Q404" s="13"/>
    </row>
    <row r="405" spans="1:17">
      <c r="A405" t="s">
        <v>124</v>
      </c>
      <c r="B405" t="str">
        <f>VLOOKUP(A405,PW!A:C,3,0)</f>
        <v>Selenocompound metabolism</v>
      </c>
      <c r="C405" t="str">
        <f t="shared" si="6"/>
        <v>MTR-&gt;KYAT3</v>
      </c>
      <c r="D405" t="s">
        <v>626</v>
      </c>
      <c r="E405" t="s">
        <v>481</v>
      </c>
      <c r="F405" s="27">
        <v>0.12234406</v>
      </c>
      <c r="G405" s="27">
        <v>0.12234406</v>
      </c>
      <c r="H405" s="27">
        <v>4.5137305000000003E-2</v>
      </c>
      <c r="I405" s="27">
        <v>0.34012037499999997</v>
      </c>
    </row>
    <row r="406" spans="1:17">
      <c r="A406" t="s">
        <v>192</v>
      </c>
      <c r="B406" t="str">
        <f>VLOOKUP(A406,PW!A:C,3,0)</f>
        <v xml:space="preserve">Natural killer cell </v>
      </c>
      <c r="C406" t="str">
        <f t="shared" si="6"/>
        <v>P3R3URF-PIK3R3-&gt;VAV3</v>
      </c>
      <c r="D406" t="s">
        <v>627</v>
      </c>
      <c r="E406" t="s">
        <v>628</v>
      </c>
      <c r="F406" s="27">
        <v>0.12156550100000001</v>
      </c>
      <c r="G406" s="27">
        <v>0.12156550100000001</v>
      </c>
      <c r="H406" s="27">
        <v>3.1522834E-2</v>
      </c>
      <c r="I406" s="27">
        <v>0.30674497099999998</v>
      </c>
    </row>
    <row r="407" spans="1:17">
      <c r="A407" t="s">
        <v>149</v>
      </c>
      <c r="B407" t="str">
        <f>VLOOKUP(A407,PW!A:C,3,0)</f>
        <v xml:space="preserve">Glycerophospholipid </v>
      </c>
      <c r="C407" t="str">
        <f t="shared" si="6"/>
        <v>PLAAT3-&gt;LCAT</v>
      </c>
      <c r="D407" t="s">
        <v>629</v>
      </c>
      <c r="E407" t="s">
        <v>630</v>
      </c>
      <c r="F407" s="27">
        <v>-0.12083590299999999</v>
      </c>
      <c r="G407" s="27">
        <v>0.12083590299999999</v>
      </c>
      <c r="H407" s="27">
        <v>3.1995188000000001E-2</v>
      </c>
      <c r="I407" s="27">
        <v>0.30674497099999998</v>
      </c>
    </row>
    <row r="408" spans="1:17">
      <c r="A408" t="s">
        <v>166</v>
      </c>
      <c r="B408" t="str">
        <f>VLOOKUP(A408,PW!A:C,3,0)</f>
        <v>Propanoate metabolis</v>
      </c>
      <c r="C408" t="str">
        <f t="shared" si="6"/>
        <v>ACOX1-&gt;ACSS2</v>
      </c>
      <c r="D408" t="s">
        <v>552</v>
      </c>
      <c r="E408" t="s">
        <v>298</v>
      </c>
      <c r="F408" s="27">
        <v>-0.119893448</v>
      </c>
      <c r="G408" s="27">
        <v>0.119893448</v>
      </c>
      <c r="H408" s="27">
        <v>4.4677913999999999E-2</v>
      </c>
      <c r="I408" s="27">
        <v>0.34012037499999997</v>
      </c>
    </row>
    <row r="409" spans="1:17">
      <c r="A409" t="s">
        <v>156</v>
      </c>
      <c r="B409" t="str">
        <f>VLOOKUP(A409,PW!A:C,3,0)</f>
        <v>Sphingolipid metabol</v>
      </c>
      <c r="C409" t="str">
        <f t="shared" si="6"/>
        <v>GBA1-&gt;GALC</v>
      </c>
      <c r="D409" t="s">
        <v>437</v>
      </c>
      <c r="E409" t="s">
        <v>320</v>
      </c>
      <c r="F409" s="27">
        <v>-0.119657345</v>
      </c>
      <c r="G409" s="27">
        <v>0.119657345</v>
      </c>
      <c r="H409" s="27">
        <v>3.8299544999999997E-2</v>
      </c>
      <c r="I409" s="27">
        <v>0.32385936500000001</v>
      </c>
    </row>
    <row r="410" spans="1:17">
      <c r="A410" t="s">
        <v>102</v>
      </c>
      <c r="B410" t="str">
        <f>VLOOKUP(A410,PW!A:C,3,0)</f>
        <v>Pyrimidine metabolism</v>
      </c>
      <c r="C410" t="str">
        <f t="shared" si="6"/>
        <v>CMPK2-&gt;NT5C1B-RDH14</v>
      </c>
      <c r="D410" t="s">
        <v>631</v>
      </c>
      <c r="E410" t="s">
        <v>290</v>
      </c>
      <c r="F410" s="27">
        <v>0.11912756100000001</v>
      </c>
      <c r="G410" s="27">
        <v>0.11912756100000001</v>
      </c>
      <c r="H410" s="27">
        <v>2.2829841999999999E-2</v>
      </c>
      <c r="I410" s="27">
        <v>0.27761394</v>
      </c>
      <c r="Q410" s="13"/>
    </row>
    <row r="411" spans="1:17">
      <c r="A411" t="s">
        <v>140</v>
      </c>
      <c r="B411" t="str">
        <f>VLOOKUP(A411,PW!A:C,3,0)</f>
        <v>Glycosaminoglycan degradation</v>
      </c>
      <c r="C411" t="str">
        <f t="shared" si="6"/>
        <v>IDUA-&gt;ARSB</v>
      </c>
      <c r="D411" t="s">
        <v>616</v>
      </c>
      <c r="E411" t="s">
        <v>632</v>
      </c>
      <c r="F411" s="27">
        <v>0.118542706</v>
      </c>
      <c r="G411" s="27">
        <v>0.118542706</v>
      </c>
      <c r="H411" s="27">
        <v>3.1233978999999999E-2</v>
      </c>
      <c r="I411" s="27">
        <v>0.30674497099999998</v>
      </c>
    </row>
    <row r="412" spans="1:17">
      <c r="A412" t="s">
        <v>101</v>
      </c>
      <c r="B412" t="str">
        <f>VLOOKUP(A412,PW!A:C,3,0)</f>
        <v>Purine metabolism</v>
      </c>
      <c r="C412" t="str">
        <f t="shared" si="6"/>
        <v>NT5C1B-RDH14-&gt;ITPA</v>
      </c>
      <c r="D412" t="s">
        <v>290</v>
      </c>
      <c r="E412" t="s">
        <v>312</v>
      </c>
      <c r="F412" s="27">
        <v>-0.115365272</v>
      </c>
      <c r="G412" s="27">
        <v>0.115365272</v>
      </c>
      <c r="H412" s="27">
        <v>4.8736182000000003E-2</v>
      </c>
      <c r="I412" s="27">
        <v>0.35486563799999998</v>
      </c>
      <c r="Q412" s="13"/>
    </row>
    <row r="413" spans="1:17">
      <c r="A413" t="s">
        <v>127</v>
      </c>
      <c r="B413" t="str">
        <f>VLOOKUP(A413,PW!A:C,3,0)</f>
        <v>Nicotinate and nicot</v>
      </c>
      <c r="C413" t="str">
        <f t="shared" si="6"/>
        <v>SARM1-&gt;NADK2</v>
      </c>
      <c r="D413" t="s">
        <v>344</v>
      </c>
      <c r="E413" t="s">
        <v>547</v>
      </c>
      <c r="F413" s="27">
        <v>-0.114043858</v>
      </c>
      <c r="G413" s="27">
        <v>0.114043858</v>
      </c>
      <c r="H413" s="27">
        <v>3.3464685000000001E-2</v>
      </c>
      <c r="I413" s="27">
        <v>0.307710339</v>
      </c>
    </row>
    <row r="414" spans="1:17">
      <c r="A414" t="s">
        <v>115</v>
      </c>
      <c r="B414" t="str">
        <f>VLOOKUP(A414,PW!A:C,3,0)</f>
        <v>Tyrosine metabolism</v>
      </c>
      <c r="C414" t="str">
        <f t="shared" si="6"/>
        <v>MIF-&gt;IL4I1</v>
      </c>
      <c r="D414" t="s">
        <v>633</v>
      </c>
      <c r="E414" t="s">
        <v>518</v>
      </c>
      <c r="F414" s="27">
        <v>-0.10901297</v>
      </c>
      <c r="G414" s="27">
        <v>0.10901297</v>
      </c>
      <c r="H414" s="27">
        <v>4.9775052E-2</v>
      </c>
      <c r="I414" s="27">
        <v>0.35486563799999998</v>
      </c>
    </row>
    <row r="415" spans="1:17">
      <c r="A415" t="s">
        <v>117</v>
      </c>
      <c r="B415" t="str">
        <f>VLOOKUP(A415,PW!A:C,3,0)</f>
        <v>Phenylalanine metabolism</v>
      </c>
      <c r="C415" t="str">
        <f t="shared" si="6"/>
        <v>MIF-&gt;IL4I1</v>
      </c>
      <c r="D415" t="s">
        <v>633</v>
      </c>
      <c r="E415" t="s">
        <v>518</v>
      </c>
      <c r="F415" s="27">
        <v>-0.10901297</v>
      </c>
      <c r="G415" s="27">
        <v>0.10901297</v>
      </c>
      <c r="H415" s="27">
        <v>4.9775052E-2</v>
      </c>
      <c r="I415" s="27">
        <v>0.35486563799999998</v>
      </c>
    </row>
    <row r="416" spans="1:17">
      <c r="A416" t="s">
        <v>113</v>
      </c>
      <c r="B416" t="str">
        <f>VLOOKUP(A416,PW!A:C,3,0)</f>
        <v>Arginine and proline</v>
      </c>
      <c r="C416" t="str">
        <f t="shared" si="6"/>
        <v>ARG1-&gt;ODC1</v>
      </c>
      <c r="D416" t="s">
        <v>634</v>
      </c>
      <c r="E416" t="s">
        <v>635</v>
      </c>
      <c r="F416" s="27">
        <v>0.10742476400000001</v>
      </c>
      <c r="G416" s="27">
        <v>0.10742476400000001</v>
      </c>
      <c r="H416" s="27">
        <v>2.0566192000000001E-2</v>
      </c>
      <c r="I416" s="27">
        <v>0.25818887899999998</v>
      </c>
    </row>
    <row r="417" spans="1:17">
      <c r="A417" t="s">
        <v>156</v>
      </c>
      <c r="B417" t="str">
        <f>VLOOKUP(A417,PW!A:C,3,0)</f>
        <v>Sphingolipid metabol</v>
      </c>
      <c r="C417" t="str">
        <f t="shared" si="6"/>
        <v>PLPP1-&gt;ACER3</v>
      </c>
      <c r="D417" t="s">
        <v>321</v>
      </c>
      <c r="E417" t="s">
        <v>377</v>
      </c>
      <c r="F417" s="27">
        <v>0.106644883</v>
      </c>
      <c r="G417" s="27">
        <v>0.106644883</v>
      </c>
      <c r="H417" s="27">
        <v>2.6924495E-2</v>
      </c>
      <c r="I417" s="27">
        <v>0.29035814700000001</v>
      </c>
    </row>
    <row r="418" spans="1:17">
      <c r="A418" t="s">
        <v>148</v>
      </c>
      <c r="B418" t="str">
        <f>VLOOKUP(A418,PW!A:C,3,0)</f>
        <v>Inositol phosphate m</v>
      </c>
      <c r="C418" t="str">
        <f t="shared" si="6"/>
        <v>PLCD3-&gt;PIK3CA</v>
      </c>
      <c r="D418" t="s">
        <v>341</v>
      </c>
      <c r="E418" t="s">
        <v>636</v>
      </c>
      <c r="F418" s="27">
        <v>-0.106477373</v>
      </c>
      <c r="G418" s="27">
        <v>0.106477373</v>
      </c>
      <c r="H418" s="27">
        <v>9.5517610000000006E-3</v>
      </c>
      <c r="I418" s="27">
        <v>0.20084521599999999</v>
      </c>
    </row>
    <row r="419" spans="1:17">
      <c r="A419" t="s">
        <v>153</v>
      </c>
      <c r="B419" t="str">
        <f>VLOOKUP(A419,PW!A:C,3,0)</f>
        <v>Arachidonic acid met</v>
      </c>
      <c r="C419" t="str">
        <f t="shared" si="6"/>
        <v>ALOX12-&gt;PTGS1</v>
      </c>
      <c r="D419" t="s">
        <v>331</v>
      </c>
      <c r="E419" t="s">
        <v>637</v>
      </c>
      <c r="F419" s="27">
        <v>-0.104982492</v>
      </c>
      <c r="G419" s="27">
        <v>0.104982492</v>
      </c>
      <c r="H419" s="27">
        <v>1.5544496E-2</v>
      </c>
      <c r="I419" s="27">
        <v>0.233812148</v>
      </c>
    </row>
    <row r="420" spans="1:17">
      <c r="A420" t="s">
        <v>205</v>
      </c>
      <c r="B420" t="str">
        <f>VLOOKUP(A420,PW!A:C,3,0)</f>
        <v>Renal cell carcinoma</v>
      </c>
      <c r="C420" t="str">
        <f t="shared" si="6"/>
        <v>EPAS1-&gt;VEGFA</v>
      </c>
      <c r="D420" t="s">
        <v>598</v>
      </c>
      <c r="E420" t="s">
        <v>638</v>
      </c>
      <c r="F420" s="27">
        <v>-0.104585999</v>
      </c>
      <c r="G420" s="27">
        <v>0.104585999</v>
      </c>
      <c r="H420" s="27">
        <v>3.0802039999999999E-2</v>
      </c>
      <c r="I420" s="27">
        <v>0.30674497099999998</v>
      </c>
    </row>
    <row r="421" spans="1:17">
      <c r="A421" t="s">
        <v>185</v>
      </c>
      <c r="B421" t="str">
        <f>VLOOKUP(A421,PW!A:C,3,0)</f>
        <v>Phosphatidylinositol</v>
      </c>
      <c r="C421" t="str">
        <f t="shared" si="6"/>
        <v>PLCD3-&gt;PIKFYVE</v>
      </c>
      <c r="D421" t="s">
        <v>341</v>
      </c>
      <c r="E421" t="s">
        <v>639</v>
      </c>
      <c r="F421" s="27">
        <v>-0.10434873</v>
      </c>
      <c r="G421" s="27">
        <v>0.10434873</v>
      </c>
      <c r="H421" s="27">
        <v>2.3174469999999998E-3</v>
      </c>
      <c r="I421" s="27">
        <v>0.10805922900000001</v>
      </c>
    </row>
    <row r="422" spans="1:17">
      <c r="A422" t="s">
        <v>149</v>
      </c>
      <c r="B422" t="str">
        <f>VLOOKUP(A422,PW!A:C,3,0)</f>
        <v xml:space="preserve">Glycerophospholipid </v>
      </c>
      <c r="C422" t="str">
        <f t="shared" si="6"/>
        <v>PGS1-&gt;CRLS1</v>
      </c>
      <c r="D422" t="s">
        <v>640</v>
      </c>
      <c r="E422" t="s">
        <v>641</v>
      </c>
      <c r="F422" s="27">
        <v>-0.103084913</v>
      </c>
      <c r="G422" s="27">
        <v>0.103084913</v>
      </c>
      <c r="H422" s="27">
        <v>5.6506199999999996E-4</v>
      </c>
      <c r="I422" s="27">
        <v>4.8535821999999999E-2</v>
      </c>
    </row>
    <row r="423" spans="1:17">
      <c r="A423" t="s">
        <v>162</v>
      </c>
      <c r="B423" t="str">
        <f>VLOOKUP(A423,PW!A:C,3,0)</f>
        <v>Glycosphingolipid bi</v>
      </c>
      <c r="C423" t="str">
        <f t="shared" si="6"/>
        <v>ST8SIA5-&gt;ST6GALNAC3</v>
      </c>
      <c r="D423" t="s">
        <v>642</v>
      </c>
      <c r="E423" t="s">
        <v>643</v>
      </c>
      <c r="F423" s="27">
        <v>-0.10141989799999999</v>
      </c>
      <c r="G423" s="27">
        <v>0.10141989799999999</v>
      </c>
      <c r="H423" s="27">
        <v>4.7770769999999997E-2</v>
      </c>
      <c r="I423" s="27">
        <v>0.351179717</v>
      </c>
    </row>
    <row r="424" spans="1:17">
      <c r="A424" t="s">
        <v>126</v>
      </c>
      <c r="B424" t="str">
        <f>VLOOKUP(A424,PW!A:C,3,0)</f>
        <v>Glutathione metabolism</v>
      </c>
      <c r="C424" t="str">
        <f t="shared" si="6"/>
        <v>CHAC2-&gt;GSS</v>
      </c>
      <c r="D424" t="s">
        <v>644</v>
      </c>
      <c r="E424" t="s">
        <v>417</v>
      </c>
      <c r="F424" s="27">
        <v>-9.9345563999999997E-2</v>
      </c>
      <c r="G424" s="27">
        <v>9.9345563999999997E-2</v>
      </c>
      <c r="H424" s="27">
        <v>2.4197982E-2</v>
      </c>
      <c r="I424" s="27">
        <v>0.28108855500000002</v>
      </c>
    </row>
    <row r="425" spans="1:17">
      <c r="A425" t="s">
        <v>101</v>
      </c>
      <c r="B425" t="str">
        <f>VLOOKUP(A425,PW!A:C,3,0)</f>
        <v>Purine metabolism</v>
      </c>
      <c r="C425" t="str">
        <f t="shared" si="6"/>
        <v>NUDT16-&gt;NME6</v>
      </c>
      <c r="D425" t="s">
        <v>297</v>
      </c>
      <c r="E425" t="s">
        <v>285</v>
      </c>
      <c r="F425" s="27">
        <v>-9.7682899000000004E-2</v>
      </c>
      <c r="G425" s="27">
        <v>9.7682899000000004E-2</v>
      </c>
      <c r="H425" s="27">
        <v>1.2206984000000001E-2</v>
      </c>
      <c r="I425" s="27">
        <v>0.22281664500000001</v>
      </c>
      <c r="Q425" s="13"/>
    </row>
    <row r="426" spans="1:17">
      <c r="A426" t="s">
        <v>189</v>
      </c>
      <c r="B426" t="str">
        <f>VLOOKUP(A426,PW!A:C,3,0)</f>
        <v>Osteoclast different</v>
      </c>
      <c r="C426" t="str">
        <f t="shared" si="6"/>
        <v>ATP2A1-&gt;PPP3CA</v>
      </c>
      <c r="D426" t="s">
        <v>645</v>
      </c>
      <c r="E426" t="s">
        <v>646</v>
      </c>
      <c r="F426" s="27">
        <v>-9.7066998000000002E-2</v>
      </c>
      <c r="G426" s="27">
        <v>9.7066998000000002E-2</v>
      </c>
      <c r="H426" s="27">
        <v>3.4420739999999998E-3</v>
      </c>
      <c r="I426" s="27">
        <v>0.131733196</v>
      </c>
    </row>
    <row r="427" spans="1:17">
      <c r="A427" t="s">
        <v>156</v>
      </c>
      <c r="B427" t="str">
        <f>VLOOKUP(A427,PW!A:C,3,0)</f>
        <v>Sphingolipid metabol</v>
      </c>
      <c r="C427" t="str">
        <f t="shared" si="6"/>
        <v>SGPP2-&gt;SGPL1</v>
      </c>
      <c r="D427" t="s">
        <v>357</v>
      </c>
      <c r="E427" t="s">
        <v>647</v>
      </c>
      <c r="F427" s="27">
        <v>9.6800318999999996E-2</v>
      </c>
      <c r="G427" s="27">
        <v>9.6800318999999996E-2</v>
      </c>
      <c r="H427" s="27">
        <v>6.4895710000000004E-3</v>
      </c>
      <c r="I427" s="27">
        <v>0.165613279</v>
      </c>
    </row>
    <row r="428" spans="1:17">
      <c r="A428" t="s">
        <v>202</v>
      </c>
      <c r="B428" t="str">
        <f>VLOOKUP(A428,PW!A:C,3,0)</f>
        <v>Leishmaniasis</v>
      </c>
      <c r="C428" t="str">
        <f t="shared" si="6"/>
        <v>FCGR3B-&gt;PRKCB</v>
      </c>
      <c r="D428" t="s">
        <v>648</v>
      </c>
      <c r="E428" t="s">
        <v>649</v>
      </c>
      <c r="F428" s="27">
        <v>-9.5922788999999994E-2</v>
      </c>
      <c r="G428" s="27">
        <v>9.5922788999999994E-2</v>
      </c>
      <c r="H428" s="27">
        <v>1.622966E-3</v>
      </c>
      <c r="I428" s="27">
        <v>8.9785799999999999E-2</v>
      </c>
    </row>
    <row r="429" spans="1:17">
      <c r="A429" t="s">
        <v>92</v>
      </c>
      <c r="B429" t="str">
        <f>VLOOKUP(A429,PW!A:C,3,0)</f>
        <v>Glycolysis</v>
      </c>
      <c r="C429" t="str">
        <f t="shared" si="6"/>
        <v>GALM-&gt;ADPGK</v>
      </c>
      <c r="D429" t="s">
        <v>650</v>
      </c>
      <c r="E429" t="s">
        <v>651</v>
      </c>
      <c r="F429" s="27">
        <v>9.5022907000000004E-2</v>
      </c>
      <c r="G429" s="27">
        <v>9.5022907000000004E-2</v>
      </c>
      <c r="H429" s="27">
        <v>1.2147130000000001E-3</v>
      </c>
      <c r="I429" s="27">
        <v>7.3422670999999995E-2</v>
      </c>
    </row>
    <row r="430" spans="1:17">
      <c r="A430" t="s">
        <v>128</v>
      </c>
      <c r="B430" t="str">
        <f>VLOOKUP(A430,PW!A:C,3,0)</f>
        <v>Starch and sucrose</v>
      </c>
      <c r="C430" t="str">
        <f t="shared" si="6"/>
        <v>MGAM-&gt;AGL</v>
      </c>
      <c r="D430" t="s">
        <v>652</v>
      </c>
      <c r="E430" t="s">
        <v>653</v>
      </c>
      <c r="F430" s="27">
        <v>-9.3883649E-2</v>
      </c>
      <c r="G430" s="27">
        <v>9.3883649E-2</v>
      </c>
      <c r="H430" s="27">
        <v>6.3583010000000002E-3</v>
      </c>
      <c r="I430" s="27">
        <v>0.165613279</v>
      </c>
    </row>
    <row r="431" spans="1:17">
      <c r="A431" t="s">
        <v>161</v>
      </c>
      <c r="B431" t="str">
        <f>VLOOKUP(A431,PW!A:C,3,0)</f>
        <v>Human T‑cell leukemi</v>
      </c>
      <c r="C431" t="str">
        <f t="shared" si="6"/>
        <v>TCF3-&gt;BAX</v>
      </c>
      <c r="D431" t="s">
        <v>654</v>
      </c>
      <c r="E431" t="s">
        <v>655</v>
      </c>
      <c r="F431" s="27">
        <v>9.2522304E-2</v>
      </c>
      <c r="G431" s="27">
        <v>9.2522304E-2</v>
      </c>
      <c r="H431" s="27">
        <v>3.6858451E-2</v>
      </c>
      <c r="I431" s="27">
        <v>0.31986945100000003</v>
      </c>
    </row>
    <row r="432" spans="1:17">
      <c r="A432" t="s">
        <v>153</v>
      </c>
      <c r="B432" t="str">
        <f>VLOOKUP(A432,PW!A:C,3,0)</f>
        <v>Arachidonic acid met</v>
      </c>
      <c r="C432" t="str">
        <f t="shared" si="6"/>
        <v>ALOX15B-&gt;PTGS1</v>
      </c>
      <c r="D432" t="s">
        <v>656</v>
      </c>
      <c r="E432" t="s">
        <v>637</v>
      </c>
      <c r="F432" s="27">
        <v>9.1965218000000001E-2</v>
      </c>
      <c r="G432" s="27">
        <v>9.1965218000000001E-2</v>
      </c>
      <c r="H432" s="27">
        <v>1.2344824000000001E-2</v>
      </c>
      <c r="I432" s="27">
        <v>0.22281664500000001</v>
      </c>
    </row>
    <row r="433" spans="1:17">
      <c r="A433" t="s">
        <v>166</v>
      </c>
      <c r="B433" t="str">
        <f>VLOOKUP(A433,PW!A:C,3,0)</f>
        <v>Propanoate metabolis</v>
      </c>
      <c r="C433" t="str">
        <f t="shared" si="6"/>
        <v>ACSS3-&gt;ACSS2</v>
      </c>
      <c r="D433" t="s">
        <v>657</v>
      </c>
      <c r="E433" t="s">
        <v>298</v>
      </c>
      <c r="F433" s="27">
        <v>-9.1161362999999995E-2</v>
      </c>
      <c r="G433" s="27">
        <v>9.1161362999999995E-2</v>
      </c>
      <c r="H433" s="27">
        <v>9.6824900000000002E-3</v>
      </c>
      <c r="I433" s="27">
        <v>0.20129712599999999</v>
      </c>
    </row>
    <row r="434" spans="1:17">
      <c r="A434" t="s">
        <v>97</v>
      </c>
      <c r="B434" t="str">
        <f>VLOOKUP(A434,PW!A:C,3,0)</f>
        <v>Fatty acid biosynthesis</v>
      </c>
      <c r="C434" t="str">
        <f t="shared" si="6"/>
        <v>FASN-&gt;ACACA</v>
      </c>
      <c r="D434" t="s">
        <v>596</v>
      </c>
      <c r="E434" t="s">
        <v>425</v>
      </c>
      <c r="F434" s="27">
        <v>-9.0478637000000001E-2</v>
      </c>
      <c r="G434" s="27">
        <v>9.0478637000000001E-2</v>
      </c>
      <c r="H434" s="27">
        <v>4.0266273999999998E-2</v>
      </c>
      <c r="I434" s="27">
        <v>0.33046330000000002</v>
      </c>
      <c r="Q434" s="14"/>
    </row>
    <row r="435" spans="1:17">
      <c r="A435" t="s">
        <v>148</v>
      </c>
      <c r="B435" t="str">
        <f>VLOOKUP(A435,PW!A:C,3,0)</f>
        <v>Inositol phosphate m</v>
      </c>
      <c r="C435" t="str">
        <f t="shared" si="6"/>
        <v>PLCD3-&gt;INPP5B</v>
      </c>
      <c r="D435" t="s">
        <v>341</v>
      </c>
      <c r="E435" t="s">
        <v>340</v>
      </c>
      <c r="F435" s="27">
        <v>8.9965522000000006E-2</v>
      </c>
      <c r="G435" s="27">
        <v>8.9965522000000006E-2</v>
      </c>
      <c r="H435" s="27">
        <v>3.4344096999999997E-2</v>
      </c>
      <c r="I435" s="27">
        <v>0.30881303300000001</v>
      </c>
    </row>
    <row r="436" spans="1:17">
      <c r="A436" t="s">
        <v>185</v>
      </c>
      <c r="B436" t="str">
        <f>VLOOKUP(A436,PW!A:C,3,0)</f>
        <v>Phosphatidylinositol</v>
      </c>
      <c r="C436" t="str">
        <f t="shared" si="6"/>
        <v>PLCD3-&gt;INPP5B</v>
      </c>
      <c r="D436" t="s">
        <v>341</v>
      </c>
      <c r="E436" t="s">
        <v>340</v>
      </c>
      <c r="F436" s="27">
        <v>8.9965522000000006E-2</v>
      </c>
      <c r="G436" s="27">
        <v>8.9965522000000006E-2</v>
      </c>
      <c r="H436" s="27">
        <v>3.4344096999999997E-2</v>
      </c>
      <c r="I436" s="27">
        <v>0.30881303300000001</v>
      </c>
    </row>
    <row r="437" spans="1:17">
      <c r="A437" t="s">
        <v>183</v>
      </c>
      <c r="B437" t="str">
        <f>VLOOKUP(A437,PW!A:C,3,0)</f>
        <v>Drug metabolism</v>
      </c>
      <c r="C437" t="str">
        <f t="shared" si="6"/>
        <v>IMPDH1-&gt;GMPS</v>
      </c>
      <c r="D437" t="s">
        <v>399</v>
      </c>
      <c r="E437" t="s">
        <v>555</v>
      </c>
      <c r="F437" s="27">
        <v>8.8217410999999996E-2</v>
      </c>
      <c r="G437" s="27">
        <v>8.8217410999999996E-2</v>
      </c>
      <c r="H437" s="27">
        <v>3.5705448000000001E-2</v>
      </c>
      <c r="I437" s="27">
        <v>0.31350072699999998</v>
      </c>
    </row>
    <row r="438" spans="1:17">
      <c r="A438" t="s">
        <v>127</v>
      </c>
      <c r="B438" t="str">
        <f>VLOOKUP(A438,PW!A:C,3,0)</f>
        <v>Nicotinate and nicot</v>
      </c>
      <c r="C438" t="str">
        <f t="shared" si="6"/>
        <v>NNMT-&gt;BST1</v>
      </c>
      <c r="D438" t="s">
        <v>658</v>
      </c>
      <c r="E438" t="s">
        <v>659</v>
      </c>
      <c r="F438" s="27">
        <v>-8.3635235000000002E-2</v>
      </c>
      <c r="G438" s="27">
        <v>8.3635235000000002E-2</v>
      </c>
      <c r="H438" s="27">
        <v>1.7590614000000001E-2</v>
      </c>
      <c r="I438" s="27">
        <v>0.25072385400000002</v>
      </c>
    </row>
    <row r="439" spans="1:17">
      <c r="A439" t="s">
        <v>101</v>
      </c>
      <c r="B439" t="str">
        <f>VLOOKUP(A439,PW!A:C,3,0)</f>
        <v>Purine metabolism</v>
      </c>
      <c r="C439" t="str">
        <f t="shared" si="6"/>
        <v>GUCY1A2-&gt;NUDT2</v>
      </c>
      <c r="D439" t="s">
        <v>660</v>
      </c>
      <c r="E439" t="s">
        <v>661</v>
      </c>
      <c r="F439" s="27">
        <v>8.3526383999999995E-2</v>
      </c>
      <c r="G439" s="27">
        <v>8.3526383999999995E-2</v>
      </c>
      <c r="H439" s="27">
        <v>1.5175734E-2</v>
      </c>
      <c r="I439" s="27">
        <v>0.23038882099999999</v>
      </c>
      <c r="Q439" s="13"/>
    </row>
    <row r="440" spans="1:17">
      <c r="A440" t="s">
        <v>96</v>
      </c>
      <c r="B440" t="str">
        <f>VLOOKUP(A440,PW!A:C,3,0)</f>
        <v>Galactose metabolism</v>
      </c>
      <c r="C440" t="str">
        <f t="shared" si="6"/>
        <v>GALM-&gt;GLB1</v>
      </c>
      <c r="D440" t="s">
        <v>650</v>
      </c>
      <c r="E440" t="s">
        <v>589</v>
      </c>
      <c r="F440" s="27">
        <v>8.0512091999999993E-2</v>
      </c>
      <c r="G440" s="27">
        <v>8.0512091999999993E-2</v>
      </c>
      <c r="H440" s="27">
        <v>1.5155106999999999E-2</v>
      </c>
      <c r="I440" s="27">
        <v>0.23038882099999999</v>
      </c>
      <c r="Q440" s="14"/>
    </row>
    <row r="441" spans="1:17">
      <c r="A441" t="s">
        <v>149</v>
      </c>
      <c r="B441" t="str">
        <f>VLOOKUP(A441,PW!A:C,3,0)</f>
        <v xml:space="preserve">Glycerophospholipid </v>
      </c>
      <c r="C441" t="str">
        <f t="shared" si="6"/>
        <v>PLD4-&gt;AGPAT1</v>
      </c>
      <c r="D441" t="s">
        <v>301</v>
      </c>
      <c r="E441" t="s">
        <v>662</v>
      </c>
      <c r="F441" s="27">
        <v>-8.0339104999999994E-2</v>
      </c>
      <c r="G441" s="27">
        <v>8.0339104999999994E-2</v>
      </c>
      <c r="H441" s="27">
        <v>1.5160521E-2</v>
      </c>
      <c r="I441" s="27">
        <v>0.23038882099999999</v>
      </c>
    </row>
    <row r="442" spans="1:17">
      <c r="A442" t="s">
        <v>101</v>
      </c>
      <c r="B442" t="str">
        <f>VLOOKUP(A442,PW!A:C,3,0)</f>
        <v>Purine metabolism</v>
      </c>
      <c r="C442" t="str">
        <f t="shared" si="6"/>
        <v>PDE7B-&gt;AK6</v>
      </c>
      <c r="D442" t="s">
        <v>624</v>
      </c>
      <c r="E442" t="s">
        <v>663</v>
      </c>
      <c r="F442" s="27">
        <v>-7.9818247999999994E-2</v>
      </c>
      <c r="G442" s="27">
        <v>7.9818247999999994E-2</v>
      </c>
      <c r="H442" s="27">
        <v>2.6042143E-2</v>
      </c>
      <c r="I442" s="27">
        <v>0.29035814700000001</v>
      </c>
      <c r="Q442" s="13"/>
    </row>
    <row r="443" spans="1:17">
      <c r="A443" t="s">
        <v>127</v>
      </c>
      <c r="B443" t="str">
        <f>VLOOKUP(A443,PW!A:C,3,0)</f>
        <v>Nicotinate and nicot</v>
      </c>
      <c r="C443" t="str">
        <f t="shared" si="6"/>
        <v>NMNAT2-&gt;SARM1</v>
      </c>
      <c r="D443" t="s">
        <v>257</v>
      </c>
      <c r="E443" t="s">
        <v>344</v>
      </c>
      <c r="F443" s="27">
        <v>7.9193383000000006E-2</v>
      </c>
      <c r="G443" s="27">
        <v>7.9193383000000006E-2</v>
      </c>
      <c r="H443" s="27">
        <v>1.9928880999999999E-2</v>
      </c>
      <c r="I443" s="27">
        <v>0.25710619499999998</v>
      </c>
    </row>
    <row r="444" spans="1:17">
      <c r="A444" t="s">
        <v>203</v>
      </c>
      <c r="B444" t="str">
        <f>VLOOKUP(A444,PW!A:C,3,0)</f>
        <v>African trypanosomia</v>
      </c>
      <c r="C444" t="str">
        <f t="shared" si="6"/>
        <v>IFNG-&gt;ICAM1</v>
      </c>
      <c r="D444" t="s">
        <v>374</v>
      </c>
      <c r="E444" t="s">
        <v>474</v>
      </c>
      <c r="F444" s="27">
        <v>-7.8890460999999995E-2</v>
      </c>
      <c r="G444" s="27">
        <v>7.8890460999999995E-2</v>
      </c>
      <c r="H444" s="27">
        <v>4.8993056E-2</v>
      </c>
      <c r="I444" s="27">
        <v>0.35486563799999998</v>
      </c>
    </row>
    <row r="445" spans="1:17">
      <c r="A445" t="s">
        <v>185</v>
      </c>
      <c r="B445" t="str">
        <f>VLOOKUP(A445,PW!A:C,3,0)</f>
        <v>Phosphatidylinositol</v>
      </c>
      <c r="C445" t="str">
        <f t="shared" si="6"/>
        <v>PLCD3-&gt;IMPA1</v>
      </c>
      <c r="D445" t="s">
        <v>341</v>
      </c>
      <c r="E445" t="s">
        <v>408</v>
      </c>
      <c r="F445" s="27">
        <v>-7.4395924000000002E-2</v>
      </c>
      <c r="G445" s="27">
        <v>7.4395924000000002E-2</v>
      </c>
      <c r="H445" s="27">
        <v>4.9366344E-2</v>
      </c>
      <c r="I445" s="27">
        <v>0.35486563799999998</v>
      </c>
    </row>
    <row r="446" spans="1:17">
      <c r="A446" t="s">
        <v>198</v>
      </c>
      <c r="B446" t="str">
        <f>VLOOKUP(A446,PW!A:C,3,0)</f>
        <v>Aldosterone‑regulate</v>
      </c>
      <c r="C446" t="str">
        <f t="shared" si="6"/>
        <v>NR3C2-&gt;KRAS</v>
      </c>
      <c r="D446" t="s">
        <v>664</v>
      </c>
      <c r="E446" t="s">
        <v>665</v>
      </c>
      <c r="F446" s="27">
        <v>6.7636505999999999E-2</v>
      </c>
      <c r="G446" s="27">
        <v>6.7636505999999999E-2</v>
      </c>
      <c r="H446" s="27">
        <v>4.5162342000000001E-2</v>
      </c>
      <c r="I446" s="27">
        <v>0.34012037499999997</v>
      </c>
    </row>
    <row r="447" spans="1:17">
      <c r="A447" t="s">
        <v>185</v>
      </c>
      <c r="B447" t="str">
        <f>VLOOKUP(A447,PW!A:C,3,0)</f>
        <v>Phosphatidylinositol</v>
      </c>
      <c r="C447" t="str">
        <f t="shared" si="6"/>
        <v>P3R3URF-PIK3R3-&gt;MTM1</v>
      </c>
      <c r="D447" t="s">
        <v>627</v>
      </c>
      <c r="E447" t="s">
        <v>342</v>
      </c>
      <c r="F447" s="27">
        <v>6.2483230000000001E-2</v>
      </c>
      <c r="G447" s="27">
        <v>6.2483230000000001E-2</v>
      </c>
      <c r="H447" s="27">
        <v>4.1983589000000002E-2</v>
      </c>
      <c r="I447" s="27">
        <v>0.33669394499999999</v>
      </c>
    </row>
    <row r="448" spans="1:17">
      <c r="A448" t="s">
        <v>127</v>
      </c>
      <c r="B448" t="str">
        <f>VLOOKUP(A448,PW!A:C,3,0)</f>
        <v>Nicotinate and nicot</v>
      </c>
      <c r="C448" t="str">
        <f t="shared" si="6"/>
        <v>NMNAT2-&gt;NADK2</v>
      </c>
      <c r="D448" t="s">
        <v>257</v>
      </c>
      <c r="E448" t="s">
        <v>547</v>
      </c>
      <c r="F448" s="27">
        <v>5.7922005999999998E-2</v>
      </c>
      <c r="G448" s="27">
        <v>5.7922005999999998E-2</v>
      </c>
      <c r="H448" s="27">
        <v>7.1970339999999997E-3</v>
      </c>
      <c r="I448" s="27">
        <v>0.171468027</v>
      </c>
    </row>
    <row r="449" spans="1:17">
      <c r="A449" t="s">
        <v>153</v>
      </c>
      <c r="B449" t="str">
        <f>VLOOKUP(A449,PW!A:C,3,0)</f>
        <v>Arachidonic acid met</v>
      </c>
      <c r="C449" t="str">
        <f t="shared" si="6"/>
        <v>ALOX15-&gt;PTGS1</v>
      </c>
      <c r="D449" t="s">
        <v>332</v>
      </c>
      <c r="E449" t="s">
        <v>637</v>
      </c>
      <c r="F449" s="27">
        <v>-5.7614690000000003E-2</v>
      </c>
      <c r="G449" s="27">
        <v>5.7614690000000003E-2</v>
      </c>
      <c r="H449" s="27">
        <v>4.8280307000000001E-2</v>
      </c>
      <c r="I449" s="27">
        <v>0.35412791300000002</v>
      </c>
    </row>
    <row r="450" spans="1:17">
      <c r="A450" t="s">
        <v>153</v>
      </c>
      <c r="B450" t="str">
        <f>VLOOKUP(A450,PW!A:C,3,0)</f>
        <v>Arachidonic acid met</v>
      </c>
      <c r="C450" t="str">
        <f t="shared" ref="C450:C459" si="7">D450&amp;"-&gt;"&amp;E450</f>
        <v>ALOX15-&gt;ALOX5</v>
      </c>
      <c r="D450" t="s">
        <v>332</v>
      </c>
      <c r="E450" t="s">
        <v>371</v>
      </c>
      <c r="F450" s="27">
        <v>5.4147128000000003E-2</v>
      </c>
      <c r="G450" s="27">
        <v>5.4147128000000003E-2</v>
      </c>
      <c r="H450" s="27">
        <v>2.7517568999999999E-2</v>
      </c>
      <c r="I450" s="27">
        <v>0.29067102</v>
      </c>
    </row>
    <row r="451" spans="1:17">
      <c r="A451" t="s">
        <v>101</v>
      </c>
      <c r="B451" t="str">
        <f>VLOOKUP(A451,PW!A:C,3,0)</f>
        <v>Purine metabolism</v>
      </c>
      <c r="C451" t="str">
        <f t="shared" si="7"/>
        <v>PDE7B-&gt;ADSL</v>
      </c>
      <c r="D451" t="s">
        <v>624</v>
      </c>
      <c r="E451" t="s">
        <v>353</v>
      </c>
      <c r="F451" s="27">
        <v>-5.2941517E-2</v>
      </c>
      <c r="G451" s="27">
        <v>5.2941517E-2</v>
      </c>
      <c r="H451" s="27">
        <v>2.6756359E-2</v>
      </c>
      <c r="I451" s="27">
        <v>0.29035814700000001</v>
      </c>
      <c r="Q451" s="13"/>
    </row>
    <row r="452" spans="1:17">
      <c r="A452" t="s">
        <v>127</v>
      </c>
      <c r="B452" t="str">
        <f>VLOOKUP(A452,PW!A:C,3,0)</f>
        <v>Nicotinate and nicot</v>
      </c>
      <c r="C452" t="str">
        <f t="shared" si="7"/>
        <v>NMNAT2-&gt;NADSYN1</v>
      </c>
      <c r="D452" t="s">
        <v>257</v>
      </c>
      <c r="E452" t="s">
        <v>256</v>
      </c>
      <c r="F452" s="27">
        <v>-5.0297758999999997E-2</v>
      </c>
      <c r="G452" s="27">
        <v>5.0297758999999997E-2</v>
      </c>
      <c r="H452" s="27">
        <v>8.8794270000000005E-3</v>
      </c>
      <c r="I452" s="27">
        <v>0.194513081</v>
      </c>
    </row>
    <row r="453" spans="1:17">
      <c r="A453" t="s">
        <v>113</v>
      </c>
      <c r="B453" t="str">
        <f>VLOOKUP(A453,PW!A:C,3,0)</f>
        <v>Arginine and proline</v>
      </c>
      <c r="C453" t="str">
        <f t="shared" si="7"/>
        <v>AOC1-&gt;SAT2</v>
      </c>
      <c r="D453" t="s">
        <v>666</v>
      </c>
      <c r="E453" t="s">
        <v>667</v>
      </c>
      <c r="F453" s="27">
        <v>-3.0827382E-2</v>
      </c>
      <c r="G453" s="27">
        <v>3.0827382E-2</v>
      </c>
      <c r="H453" s="27">
        <v>4.7087586000000001E-2</v>
      </c>
      <c r="I453" s="27">
        <v>0.349255388</v>
      </c>
    </row>
    <row r="454" spans="1:17">
      <c r="A454" t="s">
        <v>153</v>
      </c>
      <c r="B454" t="str">
        <f>VLOOKUP(A454,PW!A:C,3,0)</f>
        <v>Arachidonic acid met</v>
      </c>
      <c r="C454" t="str">
        <f t="shared" si="7"/>
        <v>ALOX15-&gt;PLA2G4B</v>
      </c>
      <c r="D454" t="s">
        <v>332</v>
      </c>
      <c r="E454" t="s">
        <v>370</v>
      </c>
      <c r="F454" s="27">
        <v>-2.6880125000000001E-2</v>
      </c>
      <c r="G454" s="27">
        <v>2.6880125000000001E-2</v>
      </c>
      <c r="H454" s="27">
        <v>4.1686663999999998E-2</v>
      </c>
      <c r="I454" s="27">
        <v>0.33523462199999998</v>
      </c>
    </row>
    <row r="455" spans="1:17">
      <c r="A455" t="s">
        <v>154</v>
      </c>
      <c r="B455" t="str">
        <f>VLOOKUP(A455,PW!A:C,3,0)</f>
        <v>Linoleic acid metabo</v>
      </c>
      <c r="C455" t="str">
        <f t="shared" si="7"/>
        <v>ALOX15-&gt;PLA2G4B</v>
      </c>
      <c r="D455" t="s">
        <v>332</v>
      </c>
      <c r="E455" t="s">
        <v>370</v>
      </c>
      <c r="F455" s="27">
        <v>-2.6880125000000001E-2</v>
      </c>
      <c r="G455" s="27">
        <v>2.6880125000000001E-2</v>
      </c>
      <c r="H455" s="27">
        <v>4.1686663999999998E-2</v>
      </c>
      <c r="I455" s="27">
        <v>0.33523462199999998</v>
      </c>
    </row>
    <row r="456" spans="1:17">
      <c r="A456" t="s">
        <v>149</v>
      </c>
      <c r="B456" t="str">
        <f>VLOOKUP(A456,PW!A:C,3,0)</f>
        <v xml:space="preserve">Glycerophospholipid </v>
      </c>
      <c r="C456" t="str">
        <f t="shared" si="7"/>
        <v>PLD4-&gt;PLD4</v>
      </c>
      <c r="D456" t="s">
        <v>301</v>
      </c>
      <c r="E456" t="s">
        <v>301</v>
      </c>
      <c r="F456" s="27">
        <v>2.2400000000000001E-17</v>
      </c>
      <c r="G456" s="27">
        <v>2.2403499999999999E-17</v>
      </c>
      <c r="H456" s="27">
        <v>1.656287E-2</v>
      </c>
      <c r="I456" s="27">
        <v>0.24242693300000001</v>
      </c>
    </row>
    <row r="457" spans="1:17">
      <c r="A457" t="s">
        <v>146</v>
      </c>
      <c r="B457" t="str">
        <f>VLOOKUP(A457,PW!A:C,3,0)</f>
        <v>Glycerolipid metabol</v>
      </c>
      <c r="C457" t="str">
        <f t="shared" si="7"/>
        <v>CEL-&gt;CEL</v>
      </c>
      <c r="D457" t="s">
        <v>611</v>
      </c>
      <c r="E457" t="s">
        <v>611</v>
      </c>
      <c r="F457" s="27">
        <v>-2.2E-17</v>
      </c>
      <c r="G457" s="27">
        <v>2.1992199999999999E-17</v>
      </c>
      <c r="H457" s="27">
        <v>8.4209539999999996E-3</v>
      </c>
      <c r="I457" s="27">
        <v>0.18571616899999999</v>
      </c>
    </row>
    <row r="458" spans="1:17">
      <c r="A458" t="s">
        <v>191</v>
      </c>
      <c r="B458" t="str">
        <f>VLOOKUP(A458,PW!A:C,3,0)</f>
        <v>Renin–angiotensin sy</v>
      </c>
      <c r="C458" t="str">
        <f t="shared" si="7"/>
        <v>ANPEP-&gt;ANPEP</v>
      </c>
      <c r="D458" t="s">
        <v>668</v>
      </c>
      <c r="E458" t="s">
        <v>668</v>
      </c>
      <c r="F458" s="27">
        <v>1.99E-17</v>
      </c>
      <c r="G458" s="27">
        <v>1.99329E-17</v>
      </c>
      <c r="H458" s="27">
        <v>1.84329E-4</v>
      </c>
      <c r="I458" s="27">
        <v>4.2726105E-2</v>
      </c>
    </row>
    <row r="459" spans="1:17">
      <c r="A459" t="s">
        <v>174</v>
      </c>
      <c r="B459" t="str">
        <f>VLOOKUP(A459,PW!A:C,3,0)</f>
        <v>Pantothenate and CoA</v>
      </c>
      <c r="C459" t="str">
        <f t="shared" si="7"/>
        <v>COASY-&gt;COASY</v>
      </c>
      <c r="D459" t="s">
        <v>669</v>
      </c>
      <c r="E459" t="s">
        <v>669</v>
      </c>
      <c r="F459" s="27">
        <v>1.56E-17</v>
      </c>
      <c r="G459" s="27">
        <v>1.55567E-17</v>
      </c>
      <c r="H459" s="27">
        <v>1.6256977999999998E-2</v>
      </c>
      <c r="I459" s="27">
        <v>0.24010305500000001</v>
      </c>
    </row>
    <row r="462" spans="1:17" ht="34.15" customHeight="1"/>
  </sheetData>
  <autoFilter ref="A1:Q459" xr:uid="{2026F301-B15B-46F9-BA55-77E70FDB0EDC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CF0A-A377-4A53-8962-16861D3BE20B}">
  <dimension ref="A1:I410"/>
  <sheetViews>
    <sheetView workbookViewId="0">
      <selection activeCell="B1" sqref="B1"/>
    </sheetView>
  </sheetViews>
  <sheetFormatPr defaultRowHeight="14.45"/>
  <cols>
    <col min="1" max="1" width="14.42578125" bestFit="1" customWidth="1"/>
    <col min="2" max="2" width="24.42578125" customWidth="1"/>
    <col min="3" max="3" width="17" customWidth="1"/>
    <col min="4" max="4" width="15" bestFit="1" customWidth="1"/>
    <col min="5" max="5" width="14" bestFit="1" customWidth="1"/>
    <col min="6" max="6" width="12.7109375" bestFit="1" customWidth="1"/>
    <col min="7" max="9" width="12" bestFit="1" customWidth="1"/>
  </cols>
  <sheetData>
    <row r="1" spans="1:9">
      <c r="A1" s="9" t="s">
        <v>246</v>
      </c>
      <c r="B1" s="9" t="s">
        <v>91</v>
      </c>
      <c r="C1" s="9" t="s">
        <v>247</v>
      </c>
      <c r="D1" s="9" t="s">
        <v>248</v>
      </c>
      <c r="E1" s="9" t="s">
        <v>249</v>
      </c>
      <c r="F1" s="9" t="s">
        <v>250</v>
      </c>
      <c r="G1" s="9" t="s">
        <v>251</v>
      </c>
      <c r="H1" s="9" t="s">
        <v>252</v>
      </c>
      <c r="I1" s="9" t="s">
        <v>253</v>
      </c>
    </row>
    <row r="2" spans="1:9">
      <c r="A2" t="s">
        <v>107</v>
      </c>
      <c r="B2" t="str">
        <f>VLOOKUP(A2,PW!A:C,2,0)</f>
        <v>Cysteine and methionine metabolism</v>
      </c>
      <c r="C2" t="str">
        <f t="shared" ref="C2:C65" si="0">D2&amp;"-&gt;"&amp;E2</f>
        <v>ADI1-&gt;ADI1</v>
      </c>
      <c r="D2" t="s">
        <v>670</v>
      </c>
      <c r="E2" t="s">
        <v>670</v>
      </c>
      <c r="F2" s="1">
        <v>-1.6000000000000001E-16</v>
      </c>
      <c r="G2" s="1">
        <v>1.5973300000000001E-16</v>
      </c>
      <c r="H2" s="1">
        <v>2.19E-14</v>
      </c>
      <c r="I2" s="1">
        <v>7.1399999999999994E-11</v>
      </c>
    </row>
    <row r="3" spans="1:9">
      <c r="A3" t="s">
        <v>100</v>
      </c>
      <c r="B3" t="str">
        <f>VLOOKUP(A3,PW!A:C,2,0)</f>
        <v>Primary bile acid biosynthesis</v>
      </c>
      <c r="C3" t="str">
        <f t="shared" si="0"/>
        <v>HSD17B4-&gt;HSD17B4</v>
      </c>
      <c r="D3" t="s">
        <v>671</v>
      </c>
      <c r="E3" t="s">
        <v>671</v>
      </c>
      <c r="F3" s="1">
        <v>2.1199999999999999E-16</v>
      </c>
      <c r="G3" s="1">
        <v>2.1182000000000001E-16</v>
      </c>
      <c r="H3" s="1">
        <v>5.7599999999999997E-7</v>
      </c>
      <c r="I3">
        <v>9.4080800000000001E-4</v>
      </c>
    </row>
    <row r="4" spans="1:9">
      <c r="A4" t="s">
        <v>126</v>
      </c>
      <c r="B4" t="str">
        <f>VLOOKUP(A4,PW!A:C,2,0)</f>
        <v>Glutathione metabolism KEGG</v>
      </c>
      <c r="C4" t="str">
        <f t="shared" si="0"/>
        <v>CHAC2-&gt;PRDX6</v>
      </c>
      <c r="D4" t="s">
        <v>644</v>
      </c>
      <c r="E4" t="s">
        <v>672</v>
      </c>
      <c r="F4">
        <v>-0.77667816099999998</v>
      </c>
      <c r="G4">
        <v>0.77667816099999998</v>
      </c>
      <c r="H4" s="1">
        <v>2.04E-6</v>
      </c>
      <c r="I4">
        <v>2.2141880000000002E-3</v>
      </c>
    </row>
    <row r="5" spans="1:9">
      <c r="A5" t="s">
        <v>102</v>
      </c>
      <c r="B5" t="str">
        <f>VLOOKUP(A5,PW!A:C,2,0)</f>
        <v>Pyrimidine metabolism</v>
      </c>
      <c r="C5" t="str">
        <f t="shared" si="0"/>
        <v>UMPS-&gt;UMPS</v>
      </c>
      <c r="D5" t="s">
        <v>454</v>
      </c>
      <c r="E5" t="s">
        <v>454</v>
      </c>
      <c r="F5" s="1">
        <v>-3.0499999999999998E-16</v>
      </c>
      <c r="G5" s="1">
        <v>3.0548200000000002E-16</v>
      </c>
      <c r="H5" s="1">
        <v>4.07E-6</v>
      </c>
      <c r="I5">
        <v>3.3191430000000001E-3</v>
      </c>
    </row>
    <row r="6" spans="1:9">
      <c r="A6" t="s">
        <v>113</v>
      </c>
      <c r="B6" t="str">
        <f>VLOOKUP(A6,PW!A:C,2,0)</f>
        <v>Arginine and proline metabolism</v>
      </c>
      <c r="C6" t="str">
        <f t="shared" si="0"/>
        <v>ALDH18A1-&gt;ALDH18A1</v>
      </c>
      <c r="D6" t="s">
        <v>673</v>
      </c>
      <c r="E6" t="s">
        <v>673</v>
      </c>
      <c r="F6" s="1">
        <v>-5.6800000000000006E-17</v>
      </c>
      <c r="G6" s="1">
        <v>5.6754900000000003E-17</v>
      </c>
      <c r="H6" s="1">
        <v>1.2300000000000001E-5</v>
      </c>
      <c r="I6">
        <v>8.009815E-3</v>
      </c>
    </row>
    <row r="7" spans="1:9">
      <c r="A7" t="s">
        <v>164</v>
      </c>
      <c r="B7" t="str">
        <f>VLOOKUP(A7,PW!A:C,2,0)</f>
        <v>Pyruvate metabolism KEGG</v>
      </c>
      <c r="C7" t="str">
        <f t="shared" si="0"/>
        <v>ACSS2-&gt;ACSS2</v>
      </c>
      <c r="D7" t="s">
        <v>298</v>
      </c>
      <c r="E7" t="s">
        <v>298</v>
      </c>
      <c r="F7" s="1">
        <v>3.5699999999999998E-16</v>
      </c>
      <c r="G7" s="1">
        <v>3.5703799999999999E-16</v>
      </c>
      <c r="H7" s="1">
        <v>2.2500000000000001E-5</v>
      </c>
      <c r="I7">
        <v>1.0582642999999999E-2</v>
      </c>
    </row>
    <row r="8" spans="1:9">
      <c r="A8" t="s">
        <v>130</v>
      </c>
      <c r="B8" t="str">
        <f>VLOOKUP(A8,PW!A:C,2,0)</f>
        <v>N‑Glycan biosynthesis KEGG</v>
      </c>
      <c r="C8" t="str">
        <f t="shared" si="0"/>
        <v>ALG2-&gt;ALG1</v>
      </c>
      <c r="D8" t="s">
        <v>323</v>
      </c>
      <c r="E8" t="s">
        <v>324</v>
      </c>
      <c r="F8">
        <v>-0.63518426900000002</v>
      </c>
      <c r="G8">
        <v>0.63518426900000002</v>
      </c>
      <c r="H8" s="1">
        <v>2.27E-5</v>
      </c>
      <c r="I8">
        <v>1.0582642999999999E-2</v>
      </c>
    </row>
    <row r="9" spans="1:9">
      <c r="A9" t="s">
        <v>105</v>
      </c>
      <c r="B9" t="str">
        <f>VLOOKUP(A9,PW!A:C,2,0)</f>
        <v>Glycine, serine and threonine metabolism</v>
      </c>
      <c r="C9" t="str">
        <f t="shared" si="0"/>
        <v>SHMT1-&gt;GLDC</v>
      </c>
      <c r="D9" t="s">
        <v>463</v>
      </c>
      <c r="E9" t="s">
        <v>674</v>
      </c>
      <c r="F9">
        <v>2.3421318090000001</v>
      </c>
      <c r="G9">
        <v>2.3421318090000001</v>
      </c>
      <c r="H9" s="1">
        <v>2.7500000000000001E-5</v>
      </c>
      <c r="I9">
        <v>1.1215197E-2</v>
      </c>
    </row>
    <row r="10" spans="1:9">
      <c r="A10" t="s">
        <v>119</v>
      </c>
      <c r="B10" t="str">
        <f>VLOOKUP(A10,PW!A:C,2,0)</f>
        <v>Tryptophan metabolism genome.jp</v>
      </c>
      <c r="C10" t="str">
        <f t="shared" si="0"/>
        <v>ALDH2-&gt;MAOA</v>
      </c>
      <c r="D10" t="s">
        <v>299</v>
      </c>
      <c r="E10" t="s">
        <v>675</v>
      </c>
      <c r="F10">
        <v>1.9350147069999999</v>
      </c>
      <c r="G10">
        <v>1.9350147069999999</v>
      </c>
      <c r="H10" s="1">
        <v>4.1600000000000002E-5</v>
      </c>
      <c r="I10">
        <v>1.3894541999999999E-2</v>
      </c>
    </row>
    <row r="11" spans="1:9">
      <c r="A11" t="s">
        <v>138</v>
      </c>
      <c r="B11" t="str">
        <f>VLOOKUP(A11,PW!A:C,2,0)</f>
        <v>Amino sugar and nucleotide sugar metabolism KEGG</v>
      </c>
      <c r="C11" t="str">
        <f t="shared" si="0"/>
        <v>PGM3-&gt;UAP1</v>
      </c>
      <c r="D11" t="s">
        <v>601</v>
      </c>
      <c r="E11" t="s">
        <v>676</v>
      </c>
      <c r="F11">
        <v>0.88826016299999999</v>
      </c>
      <c r="G11">
        <v>0.88826016299999999</v>
      </c>
      <c r="H11" s="1">
        <v>4.2599999999999999E-5</v>
      </c>
      <c r="I11">
        <v>1.3894541999999999E-2</v>
      </c>
    </row>
    <row r="12" spans="1:9">
      <c r="A12" t="s">
        <v>153</v>
      </c>
      <c r="B12" t="str">
        <f>VLOOKUP(A12,PW!A:C,2,0)</f>
        <v>Arachidonic acid metabolism genome.jp</v>
      </c>
      <c r="C12" t="str">
        <f t="shared" si="0"/>
        <v>ALOX15B-&gt;ALOX15</v>
      </c>
      <c r="D12" t="s">
        <v>656</v>
      </c>
      <c r="E12" t="s">
        <v>332</v>
      </c>
      <c r="F12">
        <v>-0.67537532499999997</v>
      </c>
      <c r="G12">
        <v>0.67537532499999997</v>
      </c>
      <c r="H12" s="1">
        <v>5.0000000000000002E-5</v>
      </c>
      <c r="I12">
        <v>1.4847480999999999E-2</v>
      </c>
    </row>
    <row r="13" spans="1:9">
      <c r="A13" t="s">
        <v>174</v>
      </c>
      <c r="B13" t="str">
        <f>VLOOKUP(A13,PW!A:C,2,0)</f>
        <v>Pantothenate and CoA biosynthesis</v>
      </c>
      <c r="C13" t="str">
        <f t="shared" si="0"/>
        <v>COASY-&gt;COASY</v>
      </c>
      <c r="D13" t="s">
        <v>669</v>
      </c>
      <c r="E13" t="s">
        <v>669</v>
      </c>
      <c r="F13" s="1">
        <v>-1.7800000000000001E-16</v>
      </c>
      <c r="G13" s="1">
        <v>1.7843200000000001E-16</v>
      </c>
      <c r="H13" s="1">
        <v>5.5500000000000001E-5</v>
      </c>
      <c r="I13">
        <v>1.5095001E-2</v>
      </c>
    </row>
    <row r="14" spans="1:9">
      <c r="A14" t="s">
        <v>144</v>
      </c>
      <c r="B14" t="str">
        <f>VLOOKUP(A14,PW!A:C,2,0)</f>
        <v>Biosynthesis of various nucleotide sugars KEGG</v>
      </c>
      <c r="C14" t="str">
        <f t="shared" si="0"/>
        <v>NANS-&gt;NPL</v>
      </c>
      <c r="D14" t="s">
        <v>420</v>
      </c>
      <c r="E14" t="s">
        <v>421</v>
      </c>
      <c r="F14">
        <v>-0.76279440499999995</v>
      </c>
      <c r="G14">
        <v>0.76279440499999995</v>
      </c>
      <c r="H14" s="1">
        <v>6.1400000000000002E-5</v>
      </c>
      <c r="I14">
        <v>1.5419237000000001E-2</v>
      </c>
    </row>
    <row r="15" spans="1:9">
      <c r="A15" t="s">
        <v>105</v>
      </c>
      <c r="B15" t="str">
        <f>VLOOKUP(A15,PW!A:C,2,0)</f>
        <v>Glycine, serine and threonine metabolism</v>
      </c>
      <c r="C15" t="str">
        <f t="shared" si="0"/>
        <v>GATM-&gt;GLDC</v>
      </c>
      <c r="D15" t="s">
        <v>525</v>
      </c>
      <c r="E15" t="s">
        <v>674</v>
      </c>
      <c r="F15">
        <v>1.187054643</v>
      </c>
      <c r="G15">
        <v>1.187054643</v>
      </c>
      <c r="H15" s="1">
        <v>7.0400000000000004E-5</v>
      </c>
      <c r="I15">
        <v>1.6407980999999999E-2</v>
      </c>
    </row>
    <row r="16" spans="1:9">
      <c r="A16" t="s">
        <v>170</v>
      </c>
      <c r="B16" t="str">
        <f>VLOOKUP(A16,PW!A:C,2,0)</f>
        <v>One carbon pool by folate</v>
      </c>
      <c r="C16" t="str">
        <f t="shared" si="0"/>
        <v>MTHFD1-&gt;GART</v>
      </c>
      <c r="D16" t="s">
        <v>423</v>
      </c>
      <c r="E16" t="s">
        <v>677</v>
      </c>
      <c r="F16">
        <v>0.30026594299999998</v>
      </c>
      <c r="G16">
        <v>0.30026594299999998</v>
      </c>
      <c r="H16" s="1">
        <v>9.5500000000000004E-5</v>
      </c>
      <c r="I16">
        <v>2.0788244000000001E-2</v>
      </c>
    </row>
    <row r="17" spans="1:9">
      <c r="A17" t="s">
        <v>101</v>
      </c>
      <c r="B17" t="str">
        <f>VLOOKUP(A17,PW!A:C,2,0)</f>
        <v>Purine metabolism</v>
      </c>
      <c r="C17" t="str">
        <f t="shared" si="0"/>
        <v>ITPA-&gt;GMPS</v>
      </c>
      <c r="D17" t="s">
        <v>312</v>
      </c>
      <c r="E17" t="s">
        <v>555</v>
      </c>
      <c r="F17">
        <v>-0.34708396200000002</v>
      </c>
      <c r="G17">
        <v>0.34708396200000002</v>
      </c>
      <c r="H17">
        <v>1.07112E-4</v>
      </c>
      <c r="I17">
        <v>2.1850936000000001E-2</v>
      </c>
    </row>
    <row r="18" spans="1:9">
      <c r="A18" t="s">
        <v>170</v>
      </c>
      <c r="B18" t="str">
        <f>VLOOKUP(A18,PW!A:C,2,0)</f>
        <v>One carbon pool by folate</v>
      </c>
      <c r="C18" t="str">
        <f t="shared" si="0"/>
        <v>TYMS-&gt;SHMT1</v>
      </c>
      <c r="D18" t="s">
        <v>678</v>
      </c>
      <c r="E18" t="s">
        <v>463</v>
      </c>
      <c r="F18">
        <v>0.20939363499999999</v>
      </c>
      <c r="G18">
        <v>0.20939363499999999</v>
      </c>
      <c r="H18">
        <v>1.42693E-4</v>
      </c>
      <c r="I18">
        <v>2.7112836000000001E-2</v>
      </c>
    </row>
    <row r="19" spans="1:9">
      <c r="A19" t="s">
        <v>183</v>
      </c>
      <c r="B19" t="str">
        <f>VLOOKUP(A19,PW!A:C,2,0)</f>
        <v>Drug metabolism – other enzymes</v>
      </c>
      <c r="C19" t="str">
        <f t="shared" si="0"/>
        <v>TYMP-&gt;TK1</v>
      </c>
      <c r="D19" t="s">
        <v>556</v>
      </c>
      <c r="E19" t="s">
        <v>679</v>
      </c>
      <c r="F19">
        <v>-0.99730830599999998</v>
      </c>
      <c r="G19">
        <v>0.99730830599999998</v>
      </c>
      <c r="H19">
        <v>1.49519E-4</v>
      </c>
      <c r="I19">
        <v>2.7112836000000001E-2</v>
      </c>
    </row>
    <row r="20" spans="1:9">
      <c r="A20" t="s">
        <v>227</v>
      </c>
      <c r="B20" t="str">
        <f>VLOOKUP(A20,PW!A:C,2,0)</f>
        <v>Proteoglycans in cancer</v>
      </c>
      <c r="C20" t="str">
        <f t="shared" si="0"/>
        <v>MAPK1-&gt;MMP9</v>
      </c>
      <c r="D20" t="s">
        <v>337</v>
      </c>
      <c r="E20" t="s">
        <v>680</v>
      </c>
      <c r="F20">
        <v>-1.4865218010000001</v>
      </c>
      <c r="G20">
        <v>1.4865218010000001</v>
      </c>
      <c r="H20">
        <v>1.6847100000000001E-4</v>
      </c>
      <c r="I20">
        <v>2.8941518999999999E-2</v>
      </c>
    </row>
    <row r="21" spans="1:9">
      <c r="A21" t="s">
        <v>234</v>
      </c>
      <c r="B21" t="str">
        <f>VLOOKUP(A21,PW!A:C,2,0)</f>
        <v>Glycosaminoglycan biosynthesis – chondroitin sulfate / dermatan sulfate</v>
      </c>
      <c r="C21" t="str">
        <f t="shared" si="0"/>
        <v>CHSY1-&gt;CHSY1</v>
      </c>
      <c r="D21" t="s">
        <v>681</v>
      </c>
      <c r="E21" t="s">
        <v>681</v>
      </c>
      <c r="F21" s="1">
        <v>-2.9699999999999999E-16</v>
      </c>
      <c r="G21" s="1">
        <v>2.9691599999999998E-16</v>
      </c>
      <c r="H21">
        <v>1.88629E-4</v>
      </c>
      <c r="I21">
        <v>3.0784229999999999E-2</v>
      </c>
    </row>
    <row r="22" spans="1:9">
      <c r="A22" t="s">
        <v>162</v>
      </c>
      <c r="B22" t="str">
        <f>VLOOKUP(A22,PW!A:C,2,0)</f>
        <v>Glycosphingolipid biosynthesis – ganglio series genome.jp</v>
      </c>
      <c r="C22" t="str">
        <f t="shared" si="0"/>
        <v>ST8SIA1-&gt;ST8SIA1</v>
      </c>
      <c r="D22" t="s">
        <v>682</v>
      </c>
      <c r="E22" t="s">
        <v>682</v>
      </c>
      <c r="F22" s="1">
        <v>-1.2399999999999999E-16</v>
      </c>
      <c r="G22" s="1">
        <v>1.2380899999999999E-16</v>
      </c>
      <c r="H22">
        <v>2.43861E-4</v>
      </c>
      <c r="I22">
        <v>3.6761463000000001E-2</v>
      </c>
    </row>
    <row r="23" spans="1:9">
      <c r="A23" t="s">
        <v>18</v>
      </c>
      <c r="B23" t="str">
        <f>VLOOKUP(A23,PW!A:C,2,0)</f>
        <v>Th17 cell differentiation</v>
      </c>
      <c r="C23" t="str">
        <f t="shared" si="0"/>
        <v>RUNX1-&gt;RORC</v>
      </c>
      <c r="D23" t="s">
        <v>284</v>
      </c>
      <c r="E23" t="s">
        <v>260</v>
      </c>
      <c r="F23">
        <v>1.765564312</v>
      </c>
      <c r="G23">
        <v>1.765564312</v>
      </c>
      <c r="H23">
        <v>2.47779E-4</v>
      </c>
      <c r="I23">
        <v>3.6761463000000001E-2</v>
      </c>
    </row>
    <row r="24" spans="1:9">
      <c r="A24" t="s">
        <v>36</v>
      </c>
      <c r="B24" t="str">
        <f>VLOOKUP(A24,PW!A:C,2,0)</f>
        <v>Tuberculosis</v>
      </c>
      <c r="C24" t="str">
        <f t="shared" si="0"/>
        <v>MAPK1-&gt;IL23A</v>
      </c>
      <c r="D24" t="s">
        <v>337</v>
      </c>
      <c r="E24" t="s">
        <v>277</v>
      </c>
      <c r="F24">
        <v>0.988529675</v>
      </c>
      <c r="G24">
        <v>0.988529675</v>
      </c>
      <c r="H24">
        <v>3.0128300000000001E-4</v>
      </c>
      <c r="I24">
        <v>4.2756036999999997E-2</v>
      </c>
    </row>
    <row r="25" spans="1:9">
      <c r="A25" t="s">
        <v>109</v>
      </c>
      <c r="B25" t="str">
        <f>VLOOKUP(A25,PW!A:C,2,0)</f>
        <v>Valine, leucine and isoleucine degradation</v>
      </c>
      <c r="C25" t="str">
        <f t="shared" si="0"/>
        <v>AOX1-&gt;ALDH6A1</v>
      </c>
      <c r="D25" t="s">
        <v>683</v>
      </c>
      <c r="E25" t="s">
        <v>412</v>
      </c>
      <c r="F25">
        <v>-0.15301890700000001</v>
      </c>
      <c r="G25">
        <v>0.15301890700000001</v>
      </c>
      <c r="H25">
        <v>4.1618900000000002E-4</v>
      </c>
      <c r="I25">
        <v>5.6601652000000002E-2</v>
      </c>
    </row>
    <row r="26" spans="1:9">
      <c r="A26" t="s">
        <v>169</v>
      </c>
      <c r="B26" t="str">
        <f>VLOOKUP(A26,PW!A:C,2,0)</f>
        <v>Pathways in cancer</v>
      </c>
      <c r="C26" t="str">
        <f t="shared" si="0"/>
        <v>PML-&gt;CCNA2</v>
      </c>
      <c r="D26" t="s">
        <v>490</v>
      </c>
      <c r="E26" t="s">
        <v>684</v>
      </c>
      <c r="F26">
        <v>-0.627863167</v>
      </c>
      <c r="G26">
        <v>0.627863167</v>
      </c>
      <c r="H26">
        <v>4.95923E-4</v>
      </c>
      <c r="I26">
        <v>6.0076342999999997E-2</v>
      </c>
    </row>
    <row r="27" spans="1:9">
      <c r="A27" t="s">
        <v>238</v>
      </c>
      <c r="B27" t="str">
        <f>VLOOKUP(A27,PW!A:C,2,0)</f>
        <v>Acute myeloid leukemia</v>
      </c>
      <c r="C27" t="str">
        <f t="shared" si="0"/>
        <v>PML-&gt;CCNA2</v>
      </c>
      <c r="D27" t="s">
        <v>490</v>
      </c>
      <c r="E27" t="s">
        <v>684</v>
      </c>
      <c r="F27">
        <v>-0.627863167</v>
      </c>
      <c r="G27">
        <v>0.627863167</v>
      </c>
      <c r="H27">
        <v>4.95923E-4</v>
      </c>
      <c r="I27">
        <v>6.0076342999999997E-2</v>
      </c>
    </row>
    <row r="28" spans="1:9">
      <c r="A28" t="s">
        <v>243</v>
      </c>
      <c r="B28" t="str">
        <f>VLOOKUP(A28,PW!A:C,2,0)</f>
        <v>Ferroptosis</v>
      </c>
      <c r="C28" t="str">
        <f t="shared" si="0"/>
        <v>E2F1-&gt;FOXM1</v>
      </c>
      <c r="D28" t="s">
        <v>685</v>
      </c>
      <c r="E28" t="s">
        <v>686</v>
      </c>
      <c r="F28">
        <v>-0.53828510100000004</v>
      </c>
      <c r="G28">
        <v>0.53828510100000004</v>
      </c>
      <c r="H28">
        <v>5.0179200000000004E-4</v>
      </c>
      <c r="I28">
        <v>6.0076342999999997E-2</v>
      </c>
    </row>
    <row r="29" spans="1:9">
      <c r="A29" t="s">
        <v>169</v>
      </c>
      <c r="B29" t="str">
        <f>VLOOKUP(A29,PW!A:C,2,0)</f>
        <v>Pathways in cancer</v>
      </c>
      <c r="C29" t="str">
        <f t="shared" si="0"/>
        <v>NOTCH1-&gt;FLT4</v>
      </c>
      <c r="D29" t="s">
        <v>687</v>
      </c>
      <c r="E29" t="s">
        <v>688</v>
      </c>
      <c r="F29">
        <v>0.98371203799999996</v>
      </c>
      <c r="G29">
        <v>0.98371203799999996</v>
      </c>
      <c r="H29">
        <v>5.4062499999999998E-4</v>
      </c>
      <c r="I29">
        <v>6.0076342999999997E-2</v>
      </c>
    </row>
    <row r="30" spans="1:9">
      <c r="A30" t="s">
        <v>208</v>
      </c>
      <c r="B30" t="str">
        <f>VLOOKUP(A30,PW!A:C,2,0)</f>
        <v>Breast cancer – Homo sapiens (human) KEGG</v>
      </c>
      <c r="C30" t="str">
        <f t="shared" si="0"/>
        <v>NOTCH1-&gt;FLT4</v>
      </c>
      <c r="D30" t="s">
        <v>687</v>
      </c>
      <c r="E30" t="s">
        <v>688</v>
      </c>
      <c r="F30">
        <v>0.98371203799999996</v>
      </c>
      <c r="G30">
        <v>0.98371203799999996</v>
      </c>
      <c r="H30">
        <v>5.4062499999999998E-4</v>
      </c>
      <c r="I30">
        <v>6.0076342999999997E-2</v>
      </c>
    </row>
    <row r="31" spans="1:9">
      <c r="A31" t="s">
        <v>36</v>
      </c>
      <c r="B31" t="str">
        <f>VLOOKUP(A31,PW!A:C,2,0)</f>
        <v>Tuberculosis</v>
      </c>
      <c r="C31" t="str">
        <f t="shared" si="0"/>
        <v>MAPK8-&gt;IL23A</v>
      </c>
      <c r="D31" t="s">
        <v>276</v>
      </c>
      <c r="E31" t="s">
        <v>277</v>
      </c>
      <c r="F31">
        <v>-1.786856534</v>
      </c>
      <c r="G31">
        <v>1.786856534</v>
      </c>
      <c r="H31">
        <v>5.5217199999999997E-4</v>
      </c>
      <c r="I31">
        <v>6.0076342999999997E-2</v>
      </c>
    </row>
    <row r="32" spans="1:9">
      <c r="A32" t="s">
        <v>147</v>
      </c>
      <c r="B32" t="str">
        <f>VLOOKUP(A32,PW!A:C,2,0)</f>
        <v>AGE‑RAGE signaling pathway in diabetic complications genome.jp</v>
      </c>
      <c r="C32" t="str">
        <f t="shared" si="0"/>
        <v>JUN-&gt;EDN1</v>
      </c>
      <c r="D32" t="s">
        <v>367</v>
      </c>
      <c r="E32" t="s">
        <v>450</v>
      </c>
      <c r="F32">
        <v>-0.81068126799999995</v>
      </c>
      <c r="G32">
        <v>0.81068126799999995</v>
      </c>
      <c r="H32">
        <v>5.91988E-4</v>
      </c>
      <c r="I32">
        <v>6.2066629999999998E-2</v>
      </c>
    </row>
    <row r="33" spans="1:9">
      <c r="A33" t="s">
        <v>129</v>
      </c>
      <c r="B33" t="str">
        <f>VLOOKUP(A33,PW!A:C,2,0)</f>
        <v>IL‑17 signaling pathway</v>
      </c>
      <c r="C33" t="str">
        <f t="shared" si="0"/>
        <v>FOS-&gt;MMP9</v>
      </c>
      <c r="D33" t="s">
        <v>319</v>
      </c>
      <c r="E33" t="s">
        <v>680</v>
      </c>
      <c r="F33">
        <v>-1.125712906</v>
      </c>
      <c r="G33">
        <v>1.125712906</v>
      </c>
      <c r="H33">
        <v>6.4479700000000001E-4</v>
      </c>
      <c r="I33">
        <v>6.2066629999999998E-2</v>
      </c>
    </row>
    <row r="34" spans="1:9">
      <c r="A34" t="s">
        <v>39</v>
      </c>
      <c r="B34" t="str">
        <f>VLOOKUP(A34,PW!A:C,2,0)</f>
        <v>Hepatitis B</v>
      </c>
      <c r="C34" t="str">
        <f t="shared" si="0"/>
        <v>FOS-&gt;MMP9</v>
      </c>
      <c r="D34" t="s">
        <v>319</v>
      </c>
      <c r="E34" t="s">
        <v>680</v>
      </c>
      <c r="F34">
        <v>-1.125712906</v>
      </c>
      <c r="G34">
        <v>1.125712906</v>
      </c>
      <c r="H34">
        <v>6.4479700000000001E-4</v>
      </c>
      <c r="I34">
        <v>6.2066629999999998E-2</v>
      </c>
    </row>
    <row r="35" spans="1:9">
      <c r="A35" t="s">
        <v>31</v>
      </c>
      <c r="B35" t="str">
        <f>VLOOKUP(A35,PW!A:C,2,0)</f>
        <v>Growth hormone synthesis, secretion and action KEGG</v>
      </c>
      <c r="C35" t="str">
        <f t="shared" si="0"/>
        <v>MAPK1-&gt;IGF1</v>
      </c>
      <c r="D35" t="s">
        <v>337</v>
      </c>
      <c r="E35" t="s">
        <v>309</v>
      </c>
      <c r="F35">
        <v>-2.411319121</v>
      </c>
      <c r="G35">
        <v>2.411319121</v>
      </c>
      <c r="H35">
        <v>6.4652700000000004E-4</v>
      </c>
      <c r="I35">
        <v>6.2066629999999998E-2</v>
      </c>
    </row>
    <row r="36" spans="1:9">
      <c r="A36" t="s">
        <v>230</v>
      </c>
      <c r="B36" t="str">
        <f>VLOOKUP(A36,PW!A:C,2,0)</f>
        <v>Histidine metabolism</v>
      </c>
      <c r="C36" t="str">
        <f t="shared" si="0"/>
        <v>HDC-&gt;HNMT</v>
      </c>
      <c r="D36" t="s">
        <v>689</v>
      </c>
      <c r="E36" t="s">
        <v>690</v>
      </c>
      <c r="F36">
        <v>-0.22073991500000001</v>
      </c>
      <c r="G36">
        <v>0.22073991500000001</v>
      </c>
      <c r="H36">
        <v>6.9896699999999999E-4</v>
      </c>
      <c r="I36">
        <v>6.3154737000000002E-2</v>
      </c>
    </row>
    <row r="37" spans="1:9">
      <c r="A37" t="s">
        <v>102</v>
      </c>
      <c r="B37" t="str">
        <f>VLOOKUP(A37,PW!A:C,2,0)</f>
        <v>Pyrimidine metabolism</v>
      </c>
      <c r="C37" t="str">
        <f t="shared" si="0"/>
        <v>TK1-&gt;TYMP</v>
      </c>
      <c r="D37" t="s">
        <v>679</v>
      </c>
      <c r="E37" t="s">
        <v>556</v>
      </c>
      <c r="F37">
        <v>-0.23855343800000001</v>
      </c>
      <c r="G37">
        <v>0.23855343800000001</v>
      </c>
      <c r="H37">
        <v>6.99856E-4</v>
      </c>
      <c r="I37">
        <v>6.3154737000000002E-2</v>
      </c>
    </row>
    <row r="38" spans="1:9">
      <c r="A38" t="s">
        <v>148</v>
      </c>
      <c r="B38" t="str">
        <f>VLOOKUP(A38,PW!A:C,2,0)</f>
        <v>Inositol phosphate metabolism genome.jp</v>
      </c>
      <c r="C38" t="str">
        <f t="shared" si="0"/>
        <v>PLCD3-&gt;PIP5KL1</v>
      </c>
      <c r="D38" t="s">
        <v>341</v>
      </c>
      <c r="E38" t="s">
        <v>691</v>
      </c>
      <c r="F38">
        <v>-0.93149677099999995</v>
      </c>
      <c r="G38">
        <v>0.93149677099999995</v>
      </c>
      <c r="H38">
        <v>7.1590800000000002E-4</v>
      </c>
      <c r="I38">
        <v>6.3154737000000002E-2</v>
      </c>
    </row>
    <row r="39" spans="1:9">
      <c r="A39" t="s">
        <v>166</v>
      </c>
      <c r="B39" t="str">
        <f>VLOOKUP(A39,PW!A:C,2,0)</f>
        <v>Propanoate metabolism</v>
      </c>
      <c r="C39" t="str">
        <f t="shared" si="0"/>
        <v>ACOX1-&gt;ACSS2</v>
      </c>
      <c r="D39" t="s">
        <v>552</v>
      </c>
      <c r="E39" t="s">
        <v>298</v>
      </c>
      <c r="F39">
        <v>-0.25594924899999999</v>
      </c>
      <c r="G39">
        <v>0.25594924899999999</v>
      </c>
      <c r="H39">
        <v>7.3930199999999995E-4</v>
      </c>
      <c r="I39">
        <v>6.3502189000000001E-2</v>
      </c>
    </row>
    <row r="40" spans="1:9">
      <c r="A40" t="s">
        <v>158</v>
      </c>
      <c r="B40" t="str">
        <f>VLOOKUP(A40,PW!A:C,2,0)</f>
        <v>Glycosphingolipid biosynthesis – lacto &amp; neolacto series genome.jp</v>
      </c>
      <c r="C40" t="str">
        <f t="shared" si="0"/>
        <v>B4GALT1-&gt;B3GALT2</v>
      </c>
      <c r="D40" t="s">
        <v>278</v>
      </c>
      <c r="E40" t="s">
        <v>279</v>
      </c>
      <c r="F40">
        <v>1.5642016080000001</v>
      </c>
      <c r="G40">
        <v>1.5642016080000001</v>
      </c>
      <c r="H40">
        <v>7.8228499999999997E-4</v>
      </c>
      <c r="I40">
        <v>6.5471211000000001E-2</v>
      </c>
    </row>
    <row r="41" spans="1:9">
      <c r="A41" t="s">
        <v>153</v>
      </c>
      <c r="B41" t="str">
        <f>VLOOKUP(A41,PW!A:C,2,0)</f>
        <v>Arachidonic acid metabolism genome.jp</v>
      </c>
      <c r="C41" t="str">
        <f t="shared" si="0"/>
        <v>PTGS1-&gt;PTGES3</v>
      </c>
      <c r="D41" t="s">
        <v>637</v>
      </c>
      <c r="E41" t="s">
        <v>291</v>
      </c>
      <c r="F41">
        <v>-0.26340700099999997</v>
      </c>
      <c r="G41">
        <v>0.26340700099999997</v>
      </c>
      <c r="H41">
        <v>9.3237699999999997E-4</v>
      </c>
      <c r="I41">
        <v>7.6081942E-2</v>
      </c>
    </row>
    <row r="42" spans="1:9">
      <c r="A42" t="s">
        <v>153</v>
      </c>
      <c r="B42" t="str">
        <f>VLOOKUP(A42,PW!A:C,2,0)</f>
        <v>Arachidonic acid metabolism genome.jp</v>
      </c>
      <c r="C42" t="str">
        <f t="shared" si="0"/>
        <v>ALOX12-&gt;ALOX15</v>
      </c>
      <c r="D42" t="s">
        <v>331</v>
      </c>
      <c r="E42" t="s">
        <v>332</v>
      </c>
      <c r="F42">
        <v>-1.103770876</v>
      </c>
      <c r="G42">
        <v>1.103770876</v>
      </c>
      <c r="H42">
        <v>1.017593E-3</v>
      </c>
      <c r="I42">
        <v>7.8879451000000003E-2</v>
      </c>
    </row>
    <row r="43" spans="1:9">
      <c r="A43" t="s">
        <v>132</v>
      </c>
      <c r="B43" t="str">
        <f>VLOOKUP(A43,PW!A:C,2,0)</f>
        <v>Mucin‑type O‑glycan biosynthesis KEGG</v>
      </c>
      <c r="C43" t="str">
        <f t="shared" si="0"/>
        <v>ST3GAL1-&gt;ST6GALNAC2</v>
      </c>
      <c r="D43" t="s">
        <v>692</v>
      </c>
      <c r="E43" t="s">
        <v>693</v>
      </c>
      <c r="F43">
        <v>-0.96492495599999994</v>
      </c>
      <c r="G43">
        <v>0.96492495599999994</v>
      </c>
      <c r="H43">
        <v>1.054602E-3</v>
      </c>
      <c r="I43">
        <v>7.8879451000000003E-2</v>
      </c>
    </row>
    <row r="44" spans="1:9">
      <c r="A44" t="s">
        <v>238</v>
      </c>
      <c r="B44" t="str">
        <f>VLOOKUP(A44,PW!A:C,2,0)</f>
        <v>Acute myeloid leukemia</v>
      </c>
      <c r="C44" t="str">
        <f t="shared" si="0"/>
        <v>STAT3-&gt;PIM2</v>
      </c>
      <c r="D44" t="s">
        <v>289</v>
      </c>
      <c r="E44" t="s">
        <v>694</v>
      </c>
      <c r="F44">
        <v>-0.32312223800000001</v>
      </c>
      <c r="G44">
        <v>0.32312223800000001</v>
      </c>
      <c r="H44">
        <v>1.0723799999999999E-3</v>
      </c>
      <c r="I44">
        <v>7.8879451000000003E-2</v>
      </c>
    </row>
    <row r="45" spans="1:9">
      <c r="A45" t="s">
        <v>227</v>
      </c>
      <c r="B45" t="str">
        <f>VLOOKUP(A45,PW!A:C,2,0)</f>
        <v>Proteoglycans in cancer</v>
      </c>
      <c r="C45" t="str">
        <f t="shared" si="0"/>
        <v>MAPK1-&gt;PLAUR</v>
      </c>
      <c r="D45" t="s">
        <v>337</v>
      </c>
      <c r="E45" t="s">
        <v>695</v>
      </c>
      <c r="F45">
        <v>-0.48564426900000002</v>
      </c>
      <c r="G45">
        <v>0.48564426900000002</v>
      </c>
      <c r="H45">
        <v>1.082185E-3</v>
      </c>
      <c r="I45">
        <v>7.8879451000000003E-2</v>
      </c>
    </row>
    <row r="46" spans="1:9">
      <c r="A46" t="s">
        <v>179</v>
      </c>
      <c r="B46" t="str">
        <f>VLOOKUP(A46,PW!A:C,2,0)</f>
        <v>Cortisol synthesis and secretion genome.jp</v>
      </c>
      <c r="C46" t="str">
        <f t="shared" si="0"/>
        <v>CREB3-&gt;NCEH1</v>
      </c>
      <c r="D46" t="s">
        <v>264</v>
      </c>
      <c r="E46" t="s">
        <v>446</v>
      </c>
      <c r="F46">
        <v>-0.60365717799999996</v>
      </c>
      <c r="G46">
        <v>0.60365717799999996</v>
      </c>
      <c r="H46">
        <v>1.1264230000000001E-3</v>
      </c>
      <c r="I46">
        <v>7.8879451000000003E-2</v>
      </c>
    </row>
    <row r="47" spans="1:9">
      <c r="A47" t="s">
        <v>15</v>
      </c>
      <c r="B47" t="str">
        <f>VLOOKUP(A47,PW!A:C,2,0)</f>
        <v>Cushing syndrome KEGG</v>
      </c>
      <c r="C47" t="str">
        <f t="shared" si="0"/>
        <v>CREB3-&gt;NCEH1</v>
      </c>
      <c r="D47" t="s">
        <v>264</v>
      </c>
      <c r="E47" t="s">
        <v>446</v>
      </c>
      <c r="F47">
        <v>-0.60365717799999996</v>
      </c>
      <c r="G47">
        <v>0.60365717799999996</v>
      </c>
      <c r="H47">
        <v>1.1264230000000001E-3</v>
      </c>
      <c r="I47">
        <v>7.8879451000000003E-2</v>
      </c>
    </row>
    <row r="48" spans="1:9">
      <c r="A48" t="s">
        <v>134</v>
      </c>
      <c r="B48" t="str">
        <f>VLOOKUP(A48,PW!A:C,2,0)</f>
        <v>Various types of N‑glycan biosynthesis KEGG</v>
      </c>
      <c r="C48" t="str">
        <f t="shared" si="0"/>
        <v>B4GALT1-&gt;ST3GAL3</v>
      </c>
      <c r="D48" t="s">
        <v>278</v>
      </c>
      <c r="E48" t="s">
        <v>512</v>
      </c>
      <c r="F48">
        <v>0.39189389800000002</v>
      </c>
      <c r="G48">
        <v>0.39189389800000002</v>
      </c>
      <c r="H48">
        <v>1.1599920000000001E-3</v>
      </c>
      <c r="I48">
        <v>7.8879451000000003E-2</v>
      </c>
    </row>
    <row r="49" spans="1:9">
      <c r="A49" t="s">
        <v>136</v>
      </c>
      <c r="B49" t="str">
        <f>VLOOKUP(A49,PW!A:C,2,0)</f>
        <v>Mannose‑type O‑glycan biosynthesis genome.jp</v>
      </c>
      <c r="C49" t="str">
        <f t="shared" si="0"/>
        <v>B4GALT1-&gt;ST3GAL3</v>
      </c>
      <c r="D49" t="s">
        <v>278</v>
      </c>
      <c r="E49" t="s">
        <v>512</v>
      </c>
      <c r="F49">
        <v>0.39189389800000002</v>
      </c>
      <c r="G49">
        <v>0.39189389800000002</v>
      </c>
      <c r="H49">
        <v>1.1599920000000001E-3</v>
      </c>
      <c r="I49">
        <v>7.8879451000000003E-2</v>
      </c>
    </row>
    <row r="50" spans="1:9">
      <c r="A50" t="s">
        <v>236</v>
      </c>
      <c r="B50" t="str">
        <f>VLOOKUP(A50,PW!A:C,2,0)</f>
        <v>α‑Linolenic acid metabolism</v>
      </c>
      <c r="C50" t="str">
        <f t="shared" si="0"/>
        <v>ACOX1-&gt;ACAA1</v>
      </c>
      <c r="D50" t="s">
        <v>552</v>
      </c>
      <c r="E50" t="s">
        <v>696</v>
      </c>
      <c r="F50">
        <v>-0.25285805099999997</v>
      </c>
      <c r="G50">
        <v>0.25285805099999997</v>
      </c>
      <c r="H50">
        <v>1.2157100000000001E-3</v>
      </c>
      <c r="I50">
        <v>8.0360676000000006E-2</v>
      </c>
    </row>
    <row r="51" spans="1:9">
      <c r="A51" t="s">
        <v>166</v>
      </c>
      <c r="B51" t="str">
        <f>VLOOKUP(A51,PW!A:C,2,0)</f>
        <v>Propanoate metabolism</v>
      </c>
      <c r="C51" t="str">
        <f t="shared" si="0"/>
        <v>DBT-&gt;ACSS2</v>
      </c>
      <c r="D51" t="s">
        <v>580</v>
      </c>
      <c r="E51" t="s">
        <v>298</v>
      </c>
      <c r="F51">
        <v>0.41747097500000002</v>
      </c>
      <c r="G51">
        <v>0.41747097500000002</v>
      </c>
      <c r="H51">
        <v>1.2696529999999999E-3</v>
      </c>
      <c r="I51">
        <v>8.0360676000000006E-2</v>
      </c>
    </row>
    <row r="52" spans="1:9">
      <c r="A52" t="s">
        <v>170</v>
      </c>
      <c r="B52" t="str">
        <f>VLOOKUP(A52,PW!A:C,2,0)</f>
        <v>One carbon pool by folate</v>
      </c>
      <c r="C52" t="str">
        <f t="shared" si="0"/>
        <v>ATIC-&gt;MTR</v>
      </c>
      <c r="D52" t="s">
        <v>550</v>
      </c>
      <c r="E52" t="s">
        <v>626</v>
      </c>
      <c r="F52">
        <v>-0.23262345200000001</v>
      </c>
      <c r="G52">
        <v>0.23262345200000001</v>
      </c>
      <c r="H52">
        <v>1.3000679999999999E-3</v>
      </c>
      <c r="I52">
        <v>8.0360676000000006E-2</v>
      </c>
    </row>
    <row r="53" spans="1:9">
      <c r="A53" t="s">
        <v>37</v>
      </c>
      <c r="B53" t="str">
        <f>VLOOKUP(A53,PW!A:C,2,0)</f>
        <v>Amphetamine addiction</v>
      </c>
      <c r="C53" t="str">
        <f t="shared" si="0"/>
        <v>CREB3-&gt;FOSB</v>
      </c>
      <c r="D53" t="s">
        <v>264</v>
      </c>
      <c r="E53" t="s">
        <v>697</v>
      </c>
      <c r="F53">
        <v>-1.2347232420000001</v>
      </c>
      <c r="G53">
        <v>1.2347232420000001</v>
      </c>
      <c r="H53">
        <v>1.32581E-3</v>
      </c>
      <c r="I53">
        <v>8.0360676000000006E-2</v>
      </c>
    </row>
    <row r="54" spans="1:9">
      <c r="A54" t="s">
        <v>38</v>
      </c>
      <c r="B54" t="str">
        <f>VLOOKUP(A54,PW!A:C,2,0)</f>
        <v>Alcoholism</v>
      </c>
      <c r="C54" t="str">
        <f t="shared" si="0"/>
        <v>CREB3-&gt;FOSB</v>
      </c>
      <c r="D54" t="s">
        <v>264</v>
      </c>
      <c r="E54" t="s">
        <v>697</v>
      </c>
      <c r="F54">
        <v>-1.2347232420000001</v>
      </c>
      <c r="G54">
        <v>1.2347232420000001</v>
      </c>
      <c r="H54">
        <v>1.32581E-3</v>
      </c>
      <c r="I54">
        <v>8.0360676000000006E-2</v>
      </c>
    </row>
    <row r="55" spans="1:9">
      <c r="A55" t="s">
        <v>121</v>
      </c>
      <c r="B55" t="str">
        <f>VLOOKUP(A55,PW!A:C,2,0)</f>
        <v>β-Alanine metabolism KEGG</v>
      </c>
      <c r="C55" t="str">
        <f t="shared" si="0"/>
        <v>UPB1-&gt;CNDP2</v>
      </c>
      <c r="D55" t="s">
        <v>615</v>
      </c>
      <c r="E55" t="s">
        <v>382</v>
      </c>
      <c r="F55">
        <v>0.203720753</v>
      </c>
      <c r="G55">
        <v>0.203720753</v>
      </c>
      <c r="H55">
        <v>1.3294960000000001E-3</v>
      </c>
      <c r="I55">
        <v>8.0360676000000006E-2</v>
      </c>
    </row>
    <row r="56" spans="1:9">
      <c r="A56" t="s">
        <v>102</v>
      </c>
      <c r="B56" t="str">
        <f>VLOOKUP(A56,PW!A:C,2,0)</f>
        <v>Pyrimidine metabolism</v>
      </c>
      <c r="C56" t="str">
        <f t="shared" si="0"/>
        <v>TYMS-&gt;HDDC2</v>
      </c>
      <c r="D56" t="s">
        <v>678</v>
      </c>
      <c r="E56" t="s">
        <v>579</v>
      </c>
      <c r="F56">
        <v>0.171308924</v>
      </c>
      <c r="G56">
        <v>0.171308924</v>
      </c>
      <c r="H56">
        <v>1.422719E-3</v>
      </c>
      <c r="I56">
        <v>8.1288816E-2</v>
      </c>
    </row>
    <row r="57" spans="1:9">
      <c r="A57" t="s">
        <v>113</v>
      </c>
      <c r="B57" t="str">
        <f>VLOOKUP(A57,PW!A:C,2,0)</f>
        <v>Arginine and proline metabolism</v>
      </c>
      <c r="C57" t="str">
        <f t="shared" si="0"/>
        <v>ALDH2-&gt;GATM</v>
      </c>
      <c r="D57" t="s">
        <v>299</v>
      </c>
      <c r="E57" t="s">
        <v>525</v>
      </c>
      <c r="F57">
        <v>-0.70340457499999998</v>
      </c>
      <c r="G57">
        <v>0.70340457499999998</v>
      </c>
      <c r="H57">
        <v>1.428744E-3</v>
      </c>
      <c r="I57">
        <v>8.1288816E-2</v>
      </c>
    </row>
    <row r="58" spans="1:9">
      <c r="A58" t="s">
        <v>138</v>
      </c>
      <c r="B58" t="str">
        <f>VLOOKUP(A58,PW!A:C,2,0)</f>
        <v>Amino sugar and nucleotide sugar metabolism KEGG</v>
      </c>
      <c r="C58" t="str">
        <f t="shared" si="0"/>
        <v>HK1-&gt;GFPT1</v>
      </c>
      <c r="D58" t="s">
        <v>504</v>
      </c>
      <c r="E58" t="s">
        <v>622</v>
      </c>
      <c r="F58">
        <v>-0.15562947299999999</v>
      </c>
      <c r="G58">
        <v>0.15562947299999999</v>
      </c>
      <c r="H58">
        <v>1.440768E-3</v>
      </c>
      <c r="I58">
        <v>8.1288816E-2</v>
      </c>
    </row>
    <row r="59" spans="1:9">
      <c r="A59" t="s">
        <v>132</v>
      </c>
      <c r="B59" t="str">
        <f>VLOOKUP(A59,PW!A:C,2,0)</f>
        <v>Mucin‑type O‑glycan biosynthesis KEGG</v>
      </c>
      <c r="C59" t="str">
        <f t="shared" si="0"/>
        <v>C1GALT1C1-&gt;GCNT1</v>
      </c>
      <c r="D59" t="s">
        <v>586</v>
      </c>
      <c r="E59" t="s">
        <v>566</v>
      </c>
      <c r="F59">
        <v>-0.49569948400000002</v>
      </c>
      <c r="G59">
        <v>0.49569948400000002</v>
      </c>
      <c r="H59">
        <v>1.458535E-3</v>
      </c>
      <c r="I59">
        <v>8.1288816E-2</v>
      </c>
    </row>
    <row r="60" spans="1:9">
      <c r="A60" t="s">
        <v>153</v>
      </c>
      <c r="B60" t="str">
        <f>VLOOKUP(A60,PW!A:C,2,0)</f>
        <v>Arachidonic acid metabolism genome.jp</v>
      </c>
      <c r="C60" t="str">
        <f t="shared" si="0"/>
        <v>PTGES3-&gt;CBR1</v>
      </c>
      <c r="D60" t="s">
        <v>291</v>
      </c>
      <c r="E60" t="s">
        <v>698</v>
      </c>
      <c r="F60">
        <v>-0.58013951900000005</v>
      </c>
      <c r="G60">
        <v>0.58013951900000005</v>
      </c>
      <c r="H60">
        <v>1.469375E-3</v>
      </c>
      <c r="I60">
        <v>8.1288816E-2</v>
      </c>
    </row>
    <row r="61" spans="1:9">
      <c r="A61" t="s">
        <v>92</v>
      </c>
      <c r="B61" t="str">
        <f>VLOOKUP(A61,PW!A:C,2,0)</f>
        <v>Glycolysis / Gluconeogenesis</v>
      </c>
      <c r="C61" t="str">
        <f t="shared" si="0"/>
        <v>GALM-&gt;ADPGK</v>
      </c>
      <c r="D61" t="s">
        <v>650</v>
      </c>
      <c r="E61" t="s">
        <v>651</v>
      </c>
      <c r="F61">
        <v>0.17524188199999999</v>
      </c>
      <c r="G61">
        <v>0.17524188199999999</v>
      </c>
      <c r="H61">
        <v>1.510768E-3</v>
      </c>
      <c r="I61">
        <v>8.2185800000000003E-2</v>
      </c>
    </row>
    <row r="62" spans="1:9">
      <c r="A62" t="s">
        <v>126</v>
      </c>
      <c r="B62" t="str">
        <f>VLOOKUP(A62,PW!A:C,2,0)</f>
        <v>Glutathione metabolism KEGG</v>
      </c>
      <c r="C62" t="str">
        <f t="shared" si="0"/>
        <v>LAP3-&gt;GCLC</v>
      </c>
      <c r="D62" t="s">
        <v>699</v>
      </c>
      <c r="E62" t="s">
        <v>700</v>
      </c>
      <c r="F62">
        <v>-0.47027010699999999</v>
      </c>
      <c r="G62">
        <v>0.47027010699999999</v>
      </c>
      <c r="H62">
        <v>1.659233E-3</v>
      </c>
      <c r="I62">
        <v>8.8782548000000003E-2</v>
      </c>
    </row>
    <row r="63" spans="1:9">
      <c r="A63" t="s">
        <v>113</v>
      </c>
      <c r="B63" t="str">
        <f>VLOOKUP(A63,PW!A:C,2,0)</f>
        <v>Arginine and proline metabolism</v>
      </c>
      <c r="C63" t="str">
        <f t="shared" si="0"/>
        <v>MAOA-&gt;ALDH2</v>
      </c>
      <c r="D63" t="s">
        <v>675</v>
      </c>
      <c r="E63" t="s">
        <v>299</v>
      </c>
      <c r="F63">
        <v>0.14175407500000001</v>
      </c>
      <c r="G63">
        <v>0.14175407500000001</v>
      </c>
      <c r="H63">
        <v>1.983332E-3</v>
      </c>
      <c r="I63">
        <v>0.101455318</v>
      </c>
    </row>
    <row r="64" spans="1:9">
      <c r="A64" t="s">
        <v>119</v>
      </c>
      <c r="B64" t="str">
        <f>VLOOKUP(A64,PW!A:C,2,0)</f>
        <v>Tryptophan metabolism genome.jp</v>
      </c>
      <c r="C64" t="str">
        <f t="shared" si="0"/>
        <v>MAOA-&gt;ALDH2</v>
      </c>
      <c r="D64" t="s">
        <v>675</v>
      </c>
      <c r="E64" t="s">
        <v>299</v>
      </c>
      <c r="F64">
        <v>0.14175407500000001</v>
      </c>
      <c r="G64">
        <v>0.14175407500000001</v>
      </c>
      <c r="H64">
        <v>1.983332E-3</v>
      </c>
      <c r="I64">
        <v>0.101455318</v>
      </c>
    </row>
    <row r="65" spans="1:9">
      <c r="A65" t="s">
        <v>102</v>
      </c>
      <c r="B65" t="str">
        <f>VLOOKUP(A65,PW!A:C,2,0)</f>
        <v>Pyrimidine metabolism</v>
      </c>
      <c r="C65" t="str">
        <f t="shared" si="0"/>
        <v>TYMS-&gt;DTYMK</v>
      </c>
      <c r="D65" t="s">
        <v>678</v>
      </c>
      <c r="E65" t="s">
        <v>286</v>
      </c>
      <c r="F65">
        <v>0.16440282000000001</v>
      </c>
      <c r="G65">
        <v>0.16440282000000001</v>
      </c>
      <c r="H65">
        <v>1.9893200000000002E-3</v>
      </c>
      <c r="I65">
        <v>0.101455318</v>
      </c>
    </row>
    <row r="66" spans="1:9">
      <c r="A66" t="s">
        <v>143</v>
      </c>
      <c r="B66" t="str">
        <f>VLOOKUP(A66,PW!A:C,2,0)</f>
        <v>Th1 and Th2 cell differentiation</v>
      </c>
      <c r="C66" t="str">
        <f t="shared" ref="C66:C129" si="1">D66&amp;"-&gt;"&amp;E66</f>
        <v>GATA3-&gt;GATA3</v>
      </c>
      <c r="D66" t="s">
        <v>328</v>
      </c>
      <c r="E66" t="s">
        <v>328</v>
      </c>
      <c r="F66" s="1">
        <v>4.5299999999999997E-16</v>
      </c>
      <c r="G66" s="1">
        <v>4.53197E-16</v>
      </c>
      <c r="H66">
        <v>2.1292429999999998E-3</v>
      </c>
      <c r="I66">
        <v>0.105513645</v>
      </c>
    </row>
    <row r="67" spans="1:9">
      <c r="A67" t="s">
        <v>158</v>
      </c>
      <c r="B67" t="str">
        <f>VLOOKUP(A67,PW!A:C,2,0)</f>
        <v>Glycosphingolipid biosynthesis – lacto &amp; neolacto series genome.jp</v>
      </c>
      <c r="C67" t="str">
        <f t="shared" si="1"/>
        <v>B4GALT1-&gt;A4GALT</v>
      </c>
      <c r="D67" t="s">
        <v>278</v>
      </c>
      <c r="E67" t="s">
        <v>701</v>
      </c>
      <c r="F67">
        <v>-2.266624191</v>
      </c>
      <c r="G67">
        <v>2.266624191</v>
      </c>
      <c r="H67">
        <v>2.1335479999999999E-3</v>
      </c>
      <c r="I67">
        <v>0.105513645</v>
      </c>
    </row>
    <row r="68" spans="1:9">
      <c r="A68" t="s">
        <v>112</v>
      </c>
      <c r="B68" t="str">
        <f>VLOOKUP(A68,PW!A:C,2,0)</f>
        <v>Epithelial cell signaling in Helicobacter pylori infection KEGG</v>
      </c>
      <c r="C68" t="str">
        <f t="shared" si="1"/>
        <v>JUN-&gt;CXCL1</v>
      </c>
      <c r="D68" t="s">
        <v>367</v>
      </c>
      <c r="E68" t="s">
        <v>327</v>
      </c>
      <c r="F68">
        <v>0.55942114600000004</v>
      </c>
      <c r="G68">
        <v>0.55942114600000004</v>
      </c>
      <c r="H68">
        <v>2.292685E-3</v>
      </c>
      <c r="I68">
        <v>0.111691388</v>
      </c>
    </row>
    <row r="69" spans="1:9">
      <c r="A69" t="s">
        <v>178</v>
      </c>
      <c r="B69" t="str">
        <f>VLOOKUP(A69,PW!A:C,2,0)</f>
        <v>Terpenoid backbone biosynthesis</v>
      </c>
      <c r="C69" t="str">
        <f t="shared" si="1"/>
        <v>NUS1-&gt;GGPS1</v>
      </c>
      <c r="D69" t="s">
        <v>702</v>
      </c>
      <c r="E69" t="s">
        <v>703</v>
      </c>
      <c r="F69">
        <v>-0.28302094999999999</v>
      </c>
      <c r="G69">
        <v>0.28302094999999999</v>
      </c>
      <c r="H69">
        <v>2.3353879999999999E-3</v>
      </c>
      <c r="I69">
        <v>0.111782258</v>
      </c>
    </row>
    <row r="70" spans="1:9">
      <c r="A70" t="s">
        <v>201</v>
      </c>
      <c r="B70" t="str">
        <f>VLOOKUP(A70,PW!A:C,2,0)</f>
        <v>Choline metabolism in cancer – Homo sapiens (human) KEGG</v>
      </c>
      <c r="C70" t="str">
        <f t="shared" si="1"/>
        <v>MAPK8-&gt;PLA2G4B</v>
      </c>
      <c r="D70" t="s">
        <v>276</v>
      </c>
      <c r="E70" t="s">
        <v>370</v>
      </c>
      <c r="F70">
        <v>-0.59658199599999995</v>
      </c>
      <c r="G70">
        <v>0.59658199599999995</v>
      </c>
      <c r="H70">
        <v>2.3630439999999999E-3</v>
      </c>
      <c r="I70">
        <v>0.111782258</v>
      </c>
    </row>
    <row r="71" spans="1:9">
      <c r="A71" t="s">
        <v>183</v>
      </c>
      <c r="B71" t="str">
        <f>VLOOKUP(A71,PW!A:C,2,0)</f>
        <v>Drug metabolism – other enzymes</v>
      </c>
      <c r="C71" t="str">
        <f t="shared" si="1"/>
        <v>TK1-&gt;DUT</v>
      </c>
      <c r="D71" t="s">
        <v>679</v>
      </c>
      <c r="E71" t="s">
        <v>497</v>
      </c>
      <c r="F71">
        <v>0.151386928</v>
      </c>
      <c r="G71">
        <v>0.151386928</v>
      </c>
      <c r="H71">
        <v>2.5916559999999999E-3</v>
      </c>
      <c r="I71">
        <v>0.12084521500000001</v>
      </c>
    </row>
    <row r="72" spans="1:9">
      <c r="A72" t="s">
        <v>191</v>
      </c>
      <c r="B72" t="str">
        <f>VLOOKUP(A72,PW!A:C,2,0)</f>
        <v>Renin–angiotensin system</v>
      </c>
      <c r="C72" t="str">
        <f t="shared" si="1"/>
        <v>ACE-&gt;PRCP</v>
      </c>
      <c r="D72" t="s">
        <v>330</v>
      </c>
      <c r="E72" t="s">
        <v>704</v>
      </c>
      <c r="F72">
        <v>0.143751507</v>
      </c>
      <c r="G72">
        <v>0.143751507</v>
      </c>
      <c r="H72">
        <v>2.6675750000000002E-3</v>
      </c>
      <c r="I72">
        <v>0.122633324</v>
      </c>
    </row>
    <row r="73" spans="1:9">
      <c r="A73" t="s">
        <v>119</v>
      </c>
      <c r="B73" t="str">
        <f>VLOOKUP(A73,PW!A:C,2,0)</f>
        <v>Tryptophan metabolism genome.jp</v>
      </c>
      <c r="C73" t="str">
        <f t="shared" si="1"/>
        <v>AFMID-&gt;KYNU</v>
      </c>
      <c r="D73" t="s">
        <v>705</v>
      </c>
      <c r="E73" t="s">
        <v>529</v>
      </c>
      <c r="F73">
        <v>-0.616748619</v>
      </c>
      <c r="G73">
        <v>0.616748619</v>
      </c>
      <c r="H73">
        <v>2.7450899999999999E-3</v>
      </c>
      <c r="I73">
        <v>0.124444071</v>
      </c>
    </row>
    <row r="74" spans="1:9">
      <c r="A74" t="s">
        <v>102</v>
      </c>
      <c r="B74" t="str">
        <f>VLOOKUP(A74,PW!A:C,2,0)</f>
        <v>Pyrimidine metabolism</v>
      </c>
      <c r="C74" t="str">
        <f t="shared" si="1"/>
        <v>NT5C1B-RDH14-&gt;DUT</v>
      </c>
      <c r="D74" t="s">
        <v>290</v>
      </c>
      <c r="E74" t="s">
        <v>497</v>
      </c>
      <c r="F74">
        <v>-0.28263812700000002</v>
      </c>
      <c r="G74">
        <v>0.28263812700000002</v>
      </c>
      <c r="H74">
        <v>2.8189510000000001E-3</v>
      </c>
      <c r="I74">
        <v>0.124691702</v>
      </c>
    </row>
    <row r="75" spans="1:9">
      <c r="A75" t="s">
        <v>191</v>
      </c>
      <c r="B75" t="str">
        <f>VLOOKUP(A75,PW!A:C,2,0)</f>
        <v>Renin–angiotensin system</v>
      </c>
      <c r="C75" t="str">
        <f t="shared" si="1"/>
        <v>ENPEP-&gt;ANPEP</v>
      </c>
      <c r="D75" t="s">
        <v>559</v>
      </c>
      <c r="E75" t="s">
        <v>668</v>
      </c>
      <c r="F75">
        <v>0.19304637199999999</v>
      </c>
      <c r="G75">
        <v>0.19304637199999999</v>
      </c>
      <c r="H75">
        <v>2.8269559999999998E-3</v>
      </c>
      <c r="I75">
        <v>0.124691702</v>
      </c>
    </row>
    <row r="76" spans="1:9">
      <c r="A76" t="s">
        <v>92</v>
      </c>
      <c r="B76" t="str">
        <f>VLOOKUP(A76,PW!A:C,2,0)</f>
        <v>Glycolysis / Gluconeogenesis</v>
      </c>
      <c r="C76" t="str">
        <f t="shared" si="1"/>
        <v>BPGM-&gt;MINPP1</v>
      </c>
      <c r="D76" t="s">
        <v>706</v>
      </c>
      <c r="E76" t="s">
        <v>707</v>
      </c>
      <c r="F76">
        <v>-0.170416284</v>
      </c>
      <c r="G76">
        <v>0.170416284</v>
      </c>
      <c r="H76">
        <v>2.876254E-3</v>
      </c>
      <c r="I76">
        <v>0.125174585</v>
      </c>
    </row>
    <row r="77" spans="1:9">
      <c r="A77" t="s">
        <v>240</v>
      </c>
      <c r="B77" t="str">
        <f>VLOOKUP(A77,PW!A:C,2,0)</f>
        <v>Chemical carcinogenesis</v>
      </c>
      <c r="C77" t="str">
        <f t="shared" si="1"/>
        <v>E2F1-&gt;BIRC5</v>
      </c>
      <c r="D77" t="s">
        <v>685</v>
      </c>
      <c r="E77" t="s">
        <v>708</v>
      </c>
      <c r="F77">
        <v>-0.54052592499999996</v>
      </c>
      <c r="G77">
        <v>0.54052592499999996</v>
      </c>
      <c r="H77">
        <v>2.9336620000000001E-3</v>
      </c>
      <c r="I77">
        <v>0.12599306599999999</v>
      </c>
    </row>
    <row r="78" spans="1:9">
      <c r="A78" t="s">
        <v>155</v>
      </c>
      <c r="B78" t="str">
        <f>VLOOKUP(A78,PW!A:C,2,0)</f>
        <v>Kaposi sarcoma‑associated herpesvirus infection</v>
      </c>
      <c r="C78" t="str">
        <f t="shared" si="1"/>
        <v>FOS-&gt;PDGFB</v>
      </c>
      <c r="D78" t="s">
        <v>319</v>
      </c>
      <c r="E78" t="s">
        <v>709</v>
      </c>
      <c r="F78">
        <v>0.74413401499999998</v>
      </c>
      <c r="G78">
        <v>0.74413401499999998</v>
      </c>
      <c r="H78">
        <v>3.0721099999999999E-3</v>
      </c>
      <c r="I78">
        <v>0.13022552600000001</v>
      </c>
    </row>
    <row r="79" spans="1:9">
      <c r="A79" t="s">
        <v>41</v>
      </c>
      <c r="B79" t="str">
        <f>VLOOKUP(A79,PW!A:C,2,0)</f>
        <v>Fluid shear stress and atherosclerosis – Homo sapiens (human) KEGG</v>
      </c>
      <c r="C79" t="str">
        <f t="shared" si="1"/>
        <v>KLF2-&gt;NQO1</v>
      </c>
      <c r="D79" t="s">
        <v>268</v>
      </c>
      <c r="E79" t="s">
        <v>710</v>
      </c>
      <c r="F79">
        <v>-1.5741343809999999</v>
      </c>
      <c r="G79">
        <v>1.5741343809999999</v>
      </c>
      <c r="H79">
        <v>3.1606809999999998E-3</v>
      </c>
      <c r="I79">
        <v>0.13226236299999999</v>
      </c>
    </row>
    <row r="80" spans="1:9">
      <c r="A80" t="s">
        <v>127</v>
      </c>
      <c r="B80" t="str">
        <f>VLOOKUP(A80,PW!A:C,2,0)</f>
        <v>Nicotinate and nicotinamide metabolism</v>
      </c>
      <c r="C80" t="str">
        <f t="shared" si="1"/>
        <v>NUDT13-&gt;NADK2</v>
      </c>
      <c r="D80" t="s">
        <v>549</v>
      </c>
      <c r="E80" t="s">
        <v>547</v>
      </c>
      <c r="F80">
        <v>-0.16964399299999999</v>
      </c>
      <c r="G80">
        <v>0.16964399299999999</v>
      </c>
      <c r="H80">
        <v>3.3523239999999998E-3</v>
      </c>
      <c r="I80">
        <v>0.13850616399999999</v>
      </c>
    </row>
    <row r="81" spans="1:9">
      <c r="A81" t="s">
        <v>129</v>
      </c>
      <c r="B81" t="str">
        <f>VLOOKUP(A81,PW!A:C,2,0)</f>
        <v>IL‑17 signaling pathway</v>
      </c>
      <c r="C81" t="str">
        <f t="shared" si="1"/>
        <v>CEBPB-&gt;MMP9</v>
      </c>
      <c r="D81" t="s">
        <v>366</v>
      </c>
      <c r="E81" t="s">
        <v>680</v>
      </c>
      <c r="F81">
        <v>-0.75271717100000002</v>
      </c>
      <c r="G81">
        <v>0.75271717100000002</v>
      </c>
      <c r="H81">
        <v>3.4745819999999999E-3</v>
      </c>
      <c r="I81">
        <v>0.14136125699999999</v>
      </c>
    </row>
    <row r="82" spans="1:9">
      <c r="A82" t="s">
        <v>126</v>
      </c>
      <c r="B82" t="str">
        <f>VLOOKUP(A82,PW!A:C,2,0)</f>
        <v>Glutathione metabolism KEGG</v>
      </c>
      <c r="C82" t="str">
        <f t="shared" si="1"/>
        <v>CHAC2-&gt;GPX4</v>
      </c>
      <c r="D82" t="s">
        <v>644</v>
      </c>
      <c r="E82" t="s">
        <v>365</v>
      </c>
      <c r="F82">
        <v>-0.397453838</v>
      </c>
      <c r="G82">
        <v>0.397453838</v>
      </c>
      <c r="H82">
        <v>3.5080459999999999E-3</v>
      </c>
      <c r="I82">
        <v>0.14136125699999999</v>
      </c>
    </row>
    <row r="83" spans="1:9">
      <c r="A83" t="s">
        <v>143</v>
      </c>
      <c r="B83" t="str">
        <f>VLOOKUP(A83,PW!A:C,2,0)</f>
        <v>Th1 and Th2 cell differentiation</v>
      </c>
      <c r="C83" t="str">
        <f t="shared" si="1"/>
        <v>STAT6-&gt;IL4R</v>
      </c>
      <c r="D83" t="s">
        <v>336</v>
      </c>
      <c r="E83" t="s">
        <v>430</v>
      </c>
      <c r="F83">
        <v>-0.65955645600000001</v>
      </c>
      <c r="G83">
        <v>0.65955645600000001</v>
      </c>
      <c r="H83">
        <v>3.651531E-3</v>
      </c>
      <c r="I83">
        <v>0.14357987799999999</v>
      </c>
    </row>
    <row r="84" spans="1:9">
      <c r="A84" t="s">
        <v>147</v>
      </c>
      <c r="B84" t="str">
        <f>VLOOKUP(A84,PW!A:C,2,0)</f>
        <v>AGE‑RAGE signaling pathway in diabetic complications genome.jp</v>
      </c>
      <c r="C84" t="str">
        <f t="shared" si="1"/>
        <v>JUN-&gt;ICAM1</v>
      </c>
      <c r="D84" t="s">
        <v>367</v>
      </c>
      <c r="E84" t="s">
        <v>474</v>
      </c>
      <c r="F84">
        <v>-0.43402256500000003</v>
      </c>
      <c r="G84">
        <v>0.43402256500000003</v>
      </c>
      <c r="H84">
        <v>3.726147E-3</v>
      </c>
      <c r="I84">
        <v>0.14357987799999999</v>
      </c>
    </row>
    <row r="85" spans="1:9">
      <c r="A85" t="s">
        <v>163</v>
      </c>
      <c r="B85" t="str">
        <f>VLOOKUP(A85,PW!A:C,2,0)</f>
        <v>Epstein‑Barr virus infection</v>
      </c>
      <c r="C85" t="str">
        <f t="shared" si="1"/>
        <v>JUN-&gt;ICAM1</v>
      </c>
      <c r="D85" t="s">
        <v>367</v>
      </c>
      <c r="E85" t="s">
        <v>474</v>
      </c>
      <c r="F85">
        <v>-0.43402256500000003</v>
      </c>
      <c r="G85">
        <v>0.43402256500000003</v>
      </c>
      <c r="H85">
        <v>3.726147E-3</v>
      </c>
      <c r="I85">
        <v>0.14357987799999999</v>
      </c>
    </row>
    <row r="86" spans="1:9">
      <c r="A86" t="s">
        <v>153</v>
      </c>
      <c r="B86" t="str">
        <f>VLOOKUP(A86,PW!A:C,2,0)</f>
        <v>Arachidonic acid metabolism genome.jp</v>
      </c>
      <c r="C86" t="str">
        <f t="shared" si="1"/>
        <v>ALOX15-&gt;PTGS1</v>
      </c>
      <c r="D86" t="s">
        <v>332</v>
      </c>
      <c r="E86" t="s">
        <v>637</v>
      </c>
      <c r="F86">
        <v>-0.15241162699999999</v>
      </c>
      <c r="G86">
        <v>0.15241162699999999</v>
      </c>
      <c r="H86">
        <v>3.7390589999999999E-3</v>
      </c>
      <c r="I86">
        <v>0.14357987799999999</v>
      </c>
    </row>
    <row r="87" spans="1:9">
      <c r="A87" t="s">
        <v>101</v>
      </c>
      <c r="B87" t="str">
        <f>VLOOKUP(A87,PW!A:C,2,0)</f>
        <v>Purine metabolism</v>
      </c>
      <c r="C87" t="str">
        <f t="shared" si="1"/>
        <v>PGM2-&gt;NUDT5</v>
      </c>
      <c r="D87" t="s">
        <v>498</v>
      </c>
      <c r="E87" t="s">
        <v>711</v>
      </c>
      <c r="F87">
        <v>0.36241564599999998</v>
      </c>
      <c r="G87">
        <v>0.36241564599999998</v>
      </c>
      <c r="H87">
        <v>3.8104969999999999E-3</v>
      </c>
      <c r="I87">
        <v>0.14462166000000001</v>
      </c>
    </row>
    <row r="88" spans="1:9">
      <c r="A88" t="s">
        <v>169</v>
      </c>
      <c r="B88" t="str">
        <f>VLOOKUP(A88,PW!A:C,2,0)</f>
        <v>Pathways in cancer</v>
      </c>
      <c r="C88" t="str">
        <f t="shared" si="1"/>
        <v>STAT5A-&gt;PIM2</v>
      </c>
      <c r="D88" t="s">
        <v>305</v>
      </c>
      <c r="E88" t="s">
        <v>694</v>
      </c>
      <c r="F88">
        <v>-0.42155959999999998</v>
      </c>
      <c r="G88">
        <v>0.42155959999999998</v>
      </c>
      <c r="H88">
        <v>3.9894029999999999E-3</v>
      </c>
      <c r="I88">
        <v>0.14967138799999999</v>
      </c>
    </row>
    <row r="89" spans="1:9">
      <c r="A89" t="s">
        <v>178</v>
      </c>
      <c r="B89" t="str">
        <f>VLOOKUP(A89,PW!A:C,2,0)</f>
        <v>Terpenoid backbone biosynthesis</v>
      </c>
      <c r="C89" t="str">
        <f t="shared" si="1"/>
        <v>CHURC1-FNTB-&gt;PDSS1</v>
      </c>
      <c r="D89" t="s">
        <v>406</v>
      </c>
      <c r="E89" t="s">
        <v>407</v>
      </c>
      <c r="F89">
        <v>-0.78416021599999997</v>
      </c>
      <c r="G89">
        <v>0.78416021599999997</v>
      </c>
      <c r="H89">
        <v>4.2842619999999996E-3</v>
      </c>
      <c r="I89">
        <v>0.15835338900000001</v>
      </c>
    </row>
    <row r="90" spans="1:9">
      <c r="A90" t="s">
        <v>166</v>
      </c>
      <c r="B90" t="str">
        <f>VLOOKUP(A90,PW!A:C,2,0)</f>
        <v>Propanoate metabolism</v>
      </c>
      <c r="C90" t="str">
        <f t="shared" si="1"/>
        <v>MMUT-&gt;SUCLG2</v>
      </c>
      <c r="D90" t="s">
        <v>712</v>
      </c>
      <c r="E90" t="s">
        <v>713</v>
      </c>
      <c r="F90">
        <v>0.74037801599999997</v>
      </c>
      <c r="G90">
        <v>0.74037801599999997</v>
      </c>
      <c r="H90">
        <v>4.3178469999999997E-3</v>
      </c>
      <c r="I90">
        <v>0.15835338900000001</v>
      </c>
    </row>
    <row r="91" spans="1:9">
      <c r="A91" t="s">
        <v>99</v>
      </c>
      <c r="B91" t="str">
        <f>VLOOKUP(A91,PW!A:C,2,0)</f>
        <v>Fatty acid degradation</v>
      </c>
      <c r="C91" t="str">
        <f t="shared" si="1"/>
        <v>CPT2-&gt;ACOX1</v>
      </c>
      <c r="D91" t="s">
        <v>614</v>
      </c>
      <c r="E91" t="s">
        <v>552</v>
      </c>
      <c r="F91">
        <v>-0.94347249799999999</v>
      </c>
      <c r="G91">
        <v>0.94347249799999999</v>
      </c>
      <c r="H91">
        <v>4.3696769999999998E-3</v>
      </c>
      <c r="I91">
        <v>0.15847360599999999</v>
      </c>
    </row>
    <row r="92" spans="1:9">
      <c r="A92" t="s">
        <v>109</v>
      </c>
      <c r="B92" t="str">
        <f>VLOOKUP(A92,PW!A:C,2,0)</f>
        <v>Valine, leucine and isoleucine degradation</v>
      </c>
      <c r="C92" t="str">
        <f t="shared" si="1"/>
        <v>ACAD8-&gt;DBT</v>
      </c>
      <c r="D92" t="s">
        <v>392</v>
      </c>
      <c r="E92" t="s">
        <v>580</v>
      </c>
      <c r="F92">
        <v>0.35949990700000001</v>
      </c>
      <c r="G92">
        <v>0.35949990700000001</v>
      </c>
      <c r="H92">
        <v>4.6055109999999996E-3</v>
      </c>
      <c r="I92">
        <v>0.15950623</v>
      </c>
    </row>
    <row r="93" spans="1:9">
      <c r="A93" t="s">
        <v>148</v>
      </c>
      <c r="B93" t="str">
        <f>VLOOKUP(A93,PW!A:C,2,0)</f>
        <v>Inositol phosphate metabolism genome.jp</v>
      </c>
      <c r="C93" t="str">
        <f t="shared" si="1"/>
        <v>ITPK1-&gt;ITPK1</v>
      </c>
      <c r="D93" t="s">
        <v>465</v>
      </c>
      <c r="E93" t="s">
        <v>465</v>
      </c>
      <c r="F93" s="1">
        <v>-1.3599999999999999E-16</v>
      </c>
      <c r="G93" s="1">
        <v>1.35587E-16</v>
      </c>
      <c r="H93">
        <v>4.6197240000000004E-3</v>
      </c>
      <c r="I93">
        <v>0.15950623</v>
      </c>
    </row>
    <row r="94" spans="1:9">
      <c r="A94" t="s">
        <v>169</v>
      </c>
      <c r="B94" t="str">
        <f>VLOOKUP(A94,PW!A:C,2,0)</f>
        <v>Pathways in cancer</v>
      </c>
      <c r="C94" t="str">
        <f t="shared" si="1"/>
        <v>RARA-&gt;CCNA2</v>
      </c>
      <c r="D94" t="s">
        <v>714</v>
      </c>
      <c r="E94" t="s">
        <v>684</v>
      </c>
      <c r="F94">
        <v>-0.65036712500000005</v>
      </c>
      <c r="G94">
        <v>0.65036712500000005</v>
      </c>
      <c r="H94">
        <v>4.6384729999999997E-3</v>
      </c>
      <c r="I94">
        <v>0.15950623</v>
      </c>
    </row>
    <row r="95" spans="1:9">
      <c r="A95" t="s">
        <v>238</v>
      </c>
      <c r="B95" t="str">
        <f>VLOOKUP(A95,PW!A:C,2,0)</f>
        <v>Acute myeloid leukemia</v>
      </c>
      <c r="C95" t="str">
        <f t="shared" si="1"/>
        <v>RARA-&gt;CCNA2</v>
      </c>
      <c r="D95" t="s">
        <v>714</v>
      </c>
      <c r="E95" t="s">
        <v>684</v>
      </c>
      <c r="F95">
        <v>-0.65036712500000005</v>
      </c>
      <c r="G95">
        <v>0.65036712500000005</v>
      </c>
      <c r="H95">
        <v>4.6384729999999997E-3</v>
      </c>
      <c r="I95">
        <v>0.15950623</v>
      </c>
    </row>
    <row r="96" spans="1:9">
      <c r="A96" t="s">
        <v>124</v>
      </c>
      <c r="B96" t="str">
        <f>VLOOKUP(A96,PW!A:C,2,0)</f>
        <v>Selenocompound metabolism genome.jp</v>
      </c>
      <c r="C96" t="str">
        <f t="shared" si="1"/>
        <v>MARS1-&gt;MTR</v>
      </c>
      <c r="D96" t="s">
        <v>715</v>
      </c>
      <c r="E96" t="s">
        <v>626</v>
      </c>
      <c r="F96">
        <v>0.34984770700000001</v>
      </c>
      <c r="G96">
        <v>0.34984770700000001</v>
      </c>
      <c r="H96">
        <v>4.717293E-3</v>
      </c>
      <c r="I96">
        <v>0.15950623</v>
      </c>
    </row>
    <row r="97" spans="1:9">
      <c r="A97" t="s">
        <v>169</v>
      </c>
      <c r="B97" t="str">
        <f>VLOOKUP(A97,PW!A:C,2,0)</f>
        <v>Pathways in cancer</v>
      </c>
      <c r="C97" t="str">
        <f t="shared" si="1"/>
        <v>EPAS1-&gt;PDGFB</v>
      </c>
      <c r="D97" t="s">
        <v>598</v>
      </c>
      <c r="E97" t="s">
        <v>709</v>
      </c>
      <c r="F97">
        <v>0.39092230300000003</v>
      </c>
      <c r="G97">
        <v>0.39092230300000003</v>
      </c>
      <c r="H97">
        <v>4.740228E-3</v>
      </c>
      <c r="I97">
        <v>0.15950623</v>
      </c>
    </row>
    <row r="98" spans="1:9">
      <c r="A98" t="s">
        <v>205</v>
      </c>
      <c r="B98" t="str">
        <f>VLOOKUP(A98,PW!A:C,2,0)</f>
        <v>Renal cell carcinoma</v>
      </c>
      <c r="C98" t="str">
        <f t="shared" si="1"/>
        <v>EPAS1-&gt;PDGFB</v>
      </c>
      <c r="D98" t="s">
        <v>598</v>
      </c>
      <c r="E98" t="s">
        <v>709</v>
      </c>
      <c r="F98">
        <v>0.39092230300000003</v>
      </c>
      <c r="G98">
        <v>0.39092230300000003</v>
      </c>
      <c r="H98">
        <v>4.740228E-3</v>
      </c>
      <c r="I98">
        <v>0.15950623</v>
      </c>
    </row>
    <row r="99" spans="1:9">
      <c r="A99" t="s">
        <v>169</v>
      </c>
      <c r="B99" t="str">
        <f>VLOOKUP(A99,PW!A:C,2,0)</f>
        <v>Pathways in cancer</v>
      </c>
      <c r="C99" t="str">
        <f t="shared" si="1"/>
        <v>RUNX1-&gt;CSF1R</v>
      </c>
      <c r="D99" t="s">
        <v>284</v>
      </c>
      <c r="E99" t="s">
        <v>716</v>
      </c>
      <c r="F99">
        <v>1.0176454340000001</v>
      </c>
      <c r="G99">
        <v>1.0176454340000001</v>
      </c>
      <c r="H99">
        <v>4.8288380000000002E-3</v>
      </c>
      <c r="I99">
        <v>0.15979459600000001</v>
      </c>
    </row>
    <row r="100" spans="1:9">
      <c r="A100" t="s">
        <v>102</v>
      </c>
      <c r="B100" t="str">
        <f>VLOOKUP(A100,PW!A:C,2,0)</f>
        <v>Pyrimidine metabolism</v>
      </c>
      <c r="C100" t="str">
        <f t="shared" si="1"/>
        <v>CTPS1-&gt;NME6</v>
      </c>
      <c r="D100" t="s">
        <v>391</v>
      </c>
      <c r="E100" t="s">
        <v>285</v>
      </c>
      <c r="F100">
        <v>0.23173307200000001</v>
      </c>
      <c r="G100">
        <v>0.23173307200000001</v>
      </c>
      <c r="H100">
        <v>4.8467110000000001E-3</v>
      </c>
      <c r="I100">
        <v>0.15979459600000001</v>
      </c>
    </row>
    <row r="101" spans="1:9">
      <c r="A101" t="s">
        <v>104</v>
      </c>
      <c r="B101" t="str">
        <f>VLOOKUP(A101,PW!A:C,2,0)</f>
        <v>Alanine, aspartate and glutamate metabolism</v>
      </c>
      <c r="C101" t="str">
        <f t="shared" si="1"/>
        <v>ADSS1-&gt;ASRGL1</v>
      </c>
      <c r="D101" t="s">
        <v>717</v>
      </c>
      <c r="E101" t="s">
        <v>718</v>
      </c>
      <c r="F101">
        <v>0.23118171400000001</v>
      </c>
      <c r="G101">
        <v>0.23118171400000001</v>
      </c>
      <c r="H101">
        <v>4.9025370000000002E-3</v>
      </c>
      <c r="I101">
        <v>0.16001879099999999</v>
      </c>
    </row>
    <row r="102" spans="1:9">
      <c r="A102" t="s">
        <v>166</v>
      </c>
      <c r="B102" t="str">
        <f>VLOOKUP(A102,PW!A:C,2,0)</f>
        <v>Propanoate metabolism</v>
      </c>
      <c r="C102" t="str">
        <f t="shared" si="1"/>
        <v>ACSS3-&gt;ACSS2</v>
      </c>
      <c r="D102" t="s">
        <v>657</v>
      </c>
      <c r="E102" t="s">
        <v>298</v>
      </c>
      <c r="F102">
        <v>-0.14648066500000001</v>
      </c>
      <c r="G102">
        <v>0.14648066500000001</v>
      </c>
      <c r="H102">
        <v>5.1255099999999998E-3</v>
      </c>
      <c r="I102">
        <v>0.162757124</v>
      </c>
    </row>
    <row r="103" spans="1:9">
      <c r="A103" t="s">
        <v>31</v>
      </c>
      <c r="B103" t="str">
        <f>VLOOKUP(A103,PW!A:C,2,0)</f>
        <v>Growth hormone synthesis, secretion and action KEGG</v>
      </c>
      <c r="C103" t="str">
        <f t="shared" si="1"/>
        <v>GSK3B-&gt;IGF1</v>
      </c>
      <c r="D103" t="s">
        <v>719</v>
      </c>
      <c r="E103" t="s">
        <v>309</v>
      </c>
      <c r="F103">
        <v>-2.5654776099999999</v>
      </c>
      <c r="G103">
        <v>2.5654776099999999</v>
      </c>
      <c r="H103">
        <v>5.1281260000000002E-3</v>
      </c>
      <c r="I103">
        <v>0.162757124</v>
      </c>
    </row>
    <row r="104" spans="1:9">
      <c r="A104" t="s">
        <v>105</v>
      </c>
      <c r="B104" t="str">
        <f>VLOOKUP(A104,PW!A:C,2,0)</f>
        <v>Glycine, serine and threonine metabolism</v>
      </c>
      <c r="C104" t="str">
        <f t="shared" si="1"/>
        <v>PSAT1-&gt;PSPH</v>
      </c>
      <c r="D104" t="s">
        <v>553</v>
      </c>
      <c r="E104" t="s">
        <v>720</v>
      </c>
      <c r="F104">
        <v>0.206613874</v>
      </c>
      <c r="G104">
        <v>0.206613874</v>
      </c>
      <c r="H104">
        <v>5.1360240000000003E-3</v>
      </c>
      <c r="I104">
        <v>0.162757124</v>
      </c>
    </row>
    <row r="105" spans="1:9">
      <c r="A105" t="s">
        <v>18</v>
      </c>
      <c r="B105" t="str">
        <f>VLOOKUP(A105,PW!A:C,2,0)</f>
        <v>Th17 cell differentiation</v>
      </c>
      <c r="C105" t="str">
        <f t="shared" si="1"/>
        <v>STAT3-&gt;RORC</v>
      </c>
      <c r="D105" t="s">
        <v>289</v>
      </c>
      <c r="E105" t="s">
        <v>260</v>
      </c>
      <c r="F105">
        <v>0.735158808</v>
      </c>
      <c r="G105">
        <v>0.735158808</v>
      </c>
      <c r="H105">
        <v>5.390644E-3</v>
      </c>
      <c r="I105">
        <v>0.16757201399999999</v>
      </c>
    </row>
    <row r="106" spans="1:9">
      <c r="A106" t="s">
        <v>120</v>
      </c>
      <c r="B106" t="str">
        <f>VLOOKUP(A106,PW!A:C,2,0)</f>
        <v>Inflammatory bowel disease – Homo sapiens (human) KEGG</v>
      </c>
      <c r="C106" t="str">
        <f t="shared" si="1"/>
        <v>STAT3-&gt;RORC</v>
      </c>
      <c r="D106" t="s">
        <v>289</v>
      </c>
      <c r="E106" t="s">
        <v>260</v>
      </c>
      <c r="F106">
        <v>0.735158808</v>
      </c>
      <c r="G106">
        <v>0.735158808</v>
      </c>
      <c r="H106">
        <v>5.390644E-3</v>
      </c>
      <c r="I106">
        <v>0.16757201399999999</v>
      </c>
    </row>
    <row r="107" spans="1:9">
      <c r="A107" t="s">
        <v>96</v>
      </c>
      <c r="B107" t="str">
        <f>VLOOKUP(A107,PW!A:C,2,0)</f>
        <v>Galactose metabolism</v>
      </c>
      <c r="C107" t="str">
        <f t="shared" si="1"/>
        <v>AKR1B1-&gt;GLA</v>
      </c>
      <c r="D107" t="s">
        <v>387</v>
      </c>
      <c r="E107" t="s">
        <v>492</v>
      </c>
      <c r="F107">
        <v>0.32184906600000002</v>
      </c>
      <c r="G107">
        <v>0.32184906600000002</v>
      </c>
      <c r="H107">
        <v>5.5588779999999997E-3</v>
      </c>
      <c r="I107">
        <v>0.17117149400000001</v>
      </c>
    </row>
    <row r="108" spans="1:9">
      <c r="A108" t="s">
        <v>93</v>
      </c>
      <c r="B108" t="str">
        <f>VLOOKUP(A108,PW!A:C,2,0)</f>
        <v>Citrate cycle (TCA cycle)</v>
      </c>
      <c r="C108" t="str">
        <f t="shared" si="1"/>
        <v>PDHA1-&gt;PDHA1</v>
      </c>
      <c r="D108" t="s">
        <v>455</v>
      </c>
      <c r="E108" t="s">
        <v>455</v>
      </c>
      <c r="F108" s="1">
        <v>-1.9199999999999999E-16</v>
      </c>
      <c r="G108" s="1">
        <v>1.9198100000000001E-16</v>
      </c>
      <c r="H108">
        <v>5.9641169999999997E-3</v>
      </c>
      <c r="I108">
        <v>0.18190800200000001</v>
      </c>
    </row>
    <row r="109" spans="1:9">
      <c r="A109" t="s">
        <v>162</v>
      </c>
      <c r="B109" t="str">
        <f>VLOOKUP(A109,PW!A:C,2,0)</f>
        <v>Glycosphingolipid biosynthesis – ganglio series genome.jp</v>
      </c>
      <c r="C109" t="str">
        <f t="shared" si="1"/>
        <v>ST8SIA1-&gt;SLC33A1</v>
      </c>
      <c r="D109" t="s">
        <v>682</v>
      </c>
      <c r="E109" t="s">
        <v>721</v>
      </c>
      <c r="F109">
        <v>-7.9723171999999995E-2</v>
      </c>
      <c r="G109">
        <v>7.9723171999999995E-2</v>
      </c>
      <c r="H109">
        <v>6.02763E-3</v>
      </c>
      <c r="I109">
        <v>0.18190800200000001</v>
      </c>
    </row>
    <row r="110" spans="1:9">
      <c r="A110" t="s">
        <v>132</v>
      </c>
      <c r="B110" t="str">
        <f>VLOOKUP(A110,PW!A:C,2,0)</f>
        <v>Mucin‑type O‑glycan biosynthesis KEGG</v>
      </c>
      <c r="C110" t="str">
        <f t="shared" si="1"/>
        <v>GCNT1-&gt;C1GALT1C1</v>
      </c>
      <c r="D110" t="s">
        <v>566</v>
      </c>
      <c r="E110" t="s">
        <v>586</v>
      </c>
      <c r="F110">
        <v>-0.269178533</v>
      </c>
      <c r="G110">
        <v>0.269178533</v>
      </c>
      <c r="H110">
        <v>6.1034430000000001E-3</v>
      </c>
      <c r="I110">
        <v>0.18190800200000001</v>
      </c>
    </row>
    <row r="111" spans="1:9">
      <c r="A111" t="s">
        <v>225</v>
      </c>
      <c r="B111" t="str">
        <f>VLOOKUP(A111,PW!A:C,2,0)</f>
        <v>Steroid hormone biosynthesis</v>
      </c>
      <c r="C111" t="str">
        <f t="shared" si="1"/>
        <v>CYP3A5-&gt;CYP19A1</v>
      </c>
      <c r="D111" t="s">
        <v>722</v>
      </c>
      <c r="E111" t="s">
        <v>723</v>
      </c>
      <c r="F111">
        <v>-0.46069921800000002</v>
      </c>
      <c r="G111">
        <v>0.46069921800000002</v>
      </c>
      <c r="H111">
        <v>6.145541E-3</v>
      </c>
      <c r="I111">
        <v>0.18190800200000001</v>
      </c>
    </row>
    <row r="112" spans="1:9">
      <c r="A112" t="s">
        <v>148</v>
      </c>
      <c r="B112" t="str">
        <f>VLOOKUP(A112,PW!A:C,2,0)</f>
        <v>Inositol phosphate metabolism genome.jp</v>
      </c>
      <c r="C112" t="str">
        <f t="shared" si="1"/>
        <v>PTEN-&gt;PIP5KL1</v>
      </c>
      <c r="D112" t="s">
        <v>477</v>
      </c>
      <c r="E112" t="s">
        <v>691</v>
      </c>
      <c r="F112">
        <v>-1.0380653390000001</v>
      </c>
      <c r="G112">
        <v>1.0380653390000001</v>
      </c>
      <c r="H112">
        <v>6.2144749999999997E-3</v>
      </c>
      <c r="I112">
        <v>0.18190800200000001</v>
      </c>
    </row>
    <row r="113" spans="1:9">
      <c r="A113" t="s">
        <v>116</v>
      </c>
      <c r="B113" t="str">
        <f>VLOOKUP(A113,PW!A:C,2,0)</f>
        <v>T cell receptor signaling pathway</v>
      </c>
      <c r="C113" t="str">
        <f t="shared" si="1"/>
        <v>NFATC1-&gt;CDK4</v>
      </c>
      <c r="D113" t="s">
        <v>274</v>
      </c>
      <c r="E113" t="s">
        <v>563</v>
      </c>
      <c r="F113">
        <v>-0.37101625900000001</v>
      </c>
      <c r="G113">
        <v>0.37101625900000001</v>
      </c>
      <c r="H113">
        <v>6.3197380000000001E-3</v>
      </c>
      <c r="I113">
        <v>0.18190800200000001</v>
      </c>
    </row>
    <row r="114" spans="1:9">
      <c r="A114" t="s">
        <v>205</v>
      </c>
      <c r="B114" t="str">
        <f>VLOOKUP(A114,PW!A:C,2,0)</f>
        <v>Renal cell carcinoma</v>
      </c>
      <c r="C114" t="str">
        <f t="shared" si="1"/>
        <v>EPAS1-&gt;VEGFA</v>
      </c>
      <c r="D114" t="s">
        <v>598</v>
      </c>
      <c r="E114" t="s">
        <v>638</v>
      </c>
      <c r="F114">
        <v>-0.186066123</v>
      </c>
      <c r="G114">
        <v>0.186066123</v>
      </c>
      <c r="H114">
        <v>6.3210080000000004E-3</v>
      </c>
      <c r="I114">
        <v>0.18190800200000001</v>
      </c>
    </row>
    <row r="115" spans="1:9">
      <c r="A115" t="s">
        <v>204</v>
      </c>
      <c r="B115" t="str">
        <f>VLOOKUP(A115,PW!A:C,2,0)</f>
        <v>Transcriptional misregulation in cancer</v>
      </c>
      <c r="C115" t="str">
        <f t="shared" si="1"/>
        <v>CEBPA-&gt;PER2</v>
      </c>
      <c r="D115" t="s">
        <v>508</v>
      </c>
      <c r="E115" t="s">
        <v>590</v>
      </c>
      <c r="F115">
        <v>0.21560759700000001</v>
      </c>
      <c r="G115">
        <v>0.21560759700000001</v>
      </c>
      <c r="H115">
        <v>6.388721E-3</v>
      </c>
      <c r="I115">
        <v>0.18190800200000001</v>
      </c>
    </row>
    <row r="116" spans="1:9">
      <c r="A116" t="s">
        <v>129</v>
      </c>
      <c r="B116" t="str">
        <f>VLOOKUP(A116,PW!A:C,2,0)</f>
        <v>IL‑17 signaling pathway</v>
      </c>
      <c r="C116" t="str">
        <f t="shared" si="1"/>
        <v>FOS-&gt;S100A9</v>
      </c>
      <c r="D116" t="s">
        <v>319</v>
      </c>
      <c r="E116" t="s">
        <v>724</v>
      </c>
      <c r="F116">
        <v>-0.44673083000000002</v>
      </c>
      <c r="G116">
        <v>0.44673083000000002</v>
      </c>
      <c r="H116">
        <v>6.4091360000000002E-3</v>
      </c>
      <c r="I116">
        <v>0.18190800200000001</v>
      </c>
    </row>
    <row r="117" spans="1:9">
      <c r="A117" t="s">
        <v>129</v>
      </c>
      <c r="B117" t="str">
        <f>VLOOKUP(A117,PW!A:C,2,0)</f>
        <v>IL‑17 signaling pathway</v>
      </c>
      <c r="C117" t="str">
        <f t="shared" si="1"/>
        <v>NFKB1-&gt;MMP9</v>
      </c>
      <c r="D117" t="s">
        <v>272</v>
      </c>
      <c r="E117" t="s">
        <v>680</v>
      </c>
      <c r="F117">
        <v>-1.334370118</v>
      </c>
      <c r="G117">
        <v>1.334370118</v>
      </c>
      <c r="H117">
        <v>6.531317E-3</v>
      </c>
      <c r="I117">
        <v>0.18216726999999999</v>
      </c>
    </row>
    <row r="118" spans="1:9">
      <c r="A118" t="s">
        <v>39</v>
      </c>
      <c r="B118" t="str">
        <f>VLOOKUP(A118,PW!A:C,2,0)</f>
        <v>Hepatitis B</v>
      </c>
      <c r="C118" t="str">
        <f t="shared" si="1"/>
        <v>NFKB1-&gt;MMP9</v>
      </c>
      <c r="D118" t="s">
        <v>272</v>
      </c>
      <c r="E118" t="s">
        <v>680</v>
      </c>
      <c r="F118">
        <v>-1.334370118</v>
      </c>
      <c r="G118">
        <v>1.334370118</v>
      </c>
      <c r="H118">
        <v>6.531317E-3</v>
      </c>
      <c r="I118">
        <v>0.18216726999999999</v>
      </c>
    </row>
    <row r="119" spans="1:9">
      <c r="A119" t="s">
        <v>130</v>
      </c>
      <c r="B119" t="str">
        <f>VLOOKUP(A119,PW!A:C,2,0)</f>
        <v>N‑Glycan biosynthesis KEGG</v>
      </c>
      <c r="C119" t="str">
        <f t="shared" si="1"/>
        <v>MGAT3-&gt;MGAT2</v>
      </c>
      <c r="D119" t="s">
        <v>725</v>
      </c>
      <c r="E119" t="s">
        <v>726</v>
      </c>
      <c r="F119">
        <v>0.20211111800000001</v>
      </c>
      <c r="G119">
        <v>0.20211111800000001</v>
      </c>
      <c r="H119">
        <v>6.5857040000000004E-3</v>
      </c>
      <c r="I119">
        <v>0.18216726999999999</v>
      </c>
    </row>
    <row r="120" spans="1:9">
      <c r="A120" t="s">
        <v>143</v>
      </c>
      <c r="B120" t="str">
        <f>VLOOKUP(A120,PW!A:C,2,0)</f>
        <v>Th1 and Th2 cell differentiation</v>
      </c>
      <c r="C120" t="str">
        <f t="shared" si="1"/>
        <v>FOS-&gt;IL4R</v>
      </c>
      <c r="D120" t="s">
        <v>319</v>
      </c>
      <c r="E120" t="s">
        <v>430</v>
      </c>
      <c r="F120">
        <v>-0.45399374199999998</v>
      </c>
      <c r="G120">
        <v>0.45399374199999998</v>
      </c>
      <c r="H120">
        <v>6.663174E-3</v>
      </c>
      <c r="I120">
        <v>0.18276135499999999</v>
      </c>
    </row>
    <row r="121" spans="1:9">
      <c r="A121" t="s">
        <v>127</v>
      </c>
      <c r="B121" t="str">
        <f>VLOOKUP(A121,PW!A:C,2,0)</f>
        <v>Nicotinate and nicotinamide metabolism</v>
      </c>
      <c r="C121" t="str">
        <f t="shared" si="1"/>
        <v>SIRT2-&gt;NUDT13</v>
      </c>
      <c r="D121" t="s">
        <v>263</v>
      </c>
      <c r="E121" t="s">
        <v>549</v>
      </c>
      <c r="F121">
        <v>1.081670742</v>
      </c>
      <c r="G121">
        <v>1.081670742</v>
      </c>
      <c r="H121">
        <v>6.754337E-3</v>
      </c>
      <c r="I121">
        <v>0.183717979</v>
      </c>
    </row>
    <row r="122" spans="1:9">
      <c r="A122" t="s">
        <v>127</v>
      </c>
      <c r="B122" t="str">
        <f>VLOOKUP(A122,PW!A:C,2,0)</f>
        <v>Nicotinate and nicotinamide metabolism</v>
      </c>
      <c r="C122" t="str">
        <f t="shared" si="1"/>
        <v>NMNAT2-&gt;NNT</v>
      </c>
      <c r="D122" t="s">
        <v>257</v>
      </c>
      <c r="E122" t="s">
        <v>727</v>
      </c>
      <c r="F122">
        <v>6.0346228000000002E-2</v>
      </c>
      <c r="G122">
        <v>6.0346228000000002E-2</v>
      </c>
      <c r="H122">
        <v>6.8843250000000002E-3</v>
      </c>
      <c r="I122">
        <v>0.18570609699999999</v>
      </c>
    </row>
    <row r="123" spans="1:9">
      <c r="A123" t="s">
        <v>224</v>
      </c>
      <c r="B123" t="str">
        <f>VLOOKUP(A123,PW!A:C,2,0)</f>
        <v>Ubiquinone and other terpenoid‑quinone biosynthesis</v>
      </c>
      <c r="C123" t="str">
        <f t="shared" si="1"/>
        <v>NQO1-&gt;GGCX</v>
      </c>
      <c r="D123" t="s">
        <v>710</v>
      </c>
      <c r="E123" t="s">
        <v>728</v>
      </c>
      <c r="F123">
        <v>8.2725341999999993E-2</v>
      </c>
      <c r="G123">
        <v>8.2725341999999993E-2</v>
      </c>
      <c r="H123">
        <v>7.0406130000000003E-3</v>
      </c>
      <c r="I123">
        <v>0.18836525800000001</v>
      </c>
    </row>
    <row r="124" spans="1:9">
      <c r="A124" t="s">
        <v>158</v>
      </c>
      <c r="B124" t="str">
        <f>VLOOKUP(A124,PW!A:C,2,0)</f>
        <v>Glycosphingolipid biosynthesis – lacto &amp; neolacto series genome.jp</v>
      </c>
      <c r="C124" t="str">
        <f t="shared" si="1"/>
        <v>FUT4-&gt;B4GALT1</v>
      </c>
      <c r="D124" t="s">
        <v>729</v>
      </c>
      <c r="E124" t="s">
        <v>278</v>
      </c>
      <c r="F124">
        <v>-0.29842032200000002</v>
      </c>
      <c r="G124">
        <v>0.29842032200000002</v>
      </c>
      <c r="H124">
        <v>7.2522330000000003E-3</v>
      </c>
      <c r="I124">
        <v>0.192449491</v>
      </c>
    </row>
    <row r="125" spans="1:9">
      <c r="A125" t="s">
        <v>111</v>
      </c>
      <c r="B125" t="str">
        <f>VLOOKUP(A125,PW!A:C,2,0)</f>
        <v>Lysine degradation</v>
      </c>
      <c r="C125" t="str">
        <f t="shared" si="1"/>
        <v>AASS-&gt;AASS</v>
      </c>
      <c r="D125" t="s">
        <v>730</v>
      </c>
      <c r="E125" t="s">
        <v>730</v>
      </c>
      <c r="F125" s="1">
        <v>-2.4100000000000002E-16</v>
      </c>
      <c r="G125" s="1">
        <v>2.4149600000000001E-16</v>
      </c>
      <c r="H125">
        <v>7.406045E-3</v>
      </c>
      <c r="I125">
        <v>0.19443305699999999</v>
      </c>
    </row>
    <row r="126" spans="1:9">
      <c r="A126" t="s">
        <v>170</v>
      </c>
      <c r="B126" t="str">
        <f>VLOOKUP(A126,PW!A:C,2,0)</f>
        <v>One carbon pool by folate</v>
      </c>
      <c r="C126" t="str">
        <f t="shared" si="1"/>
        <v>MTHFD1L-&gt;SHMT1</v>
      </c>
      <c r="D126" t="s">
        <v>595</v>
      </c>
      <c r="E126" t="s">
        <v>463</v>
      </c>
      <c r="F126">
        <v>0.320976653</v>
      </c>
      <c r="G126">
        <v>0.320976653</v>
      </c>
      <c r="H126">
        <v>7.4461190000000002E-3</v>
      </c>
      <c r="I126">
        <v>0.19443305699999999</v>
      </c>
    </row>
    <row r="127" spans="1:9">
      <c r="A127" t="s">
        <v>146</v>
      </c>
      <c r="B127" t="str">
        <f>VLOOKUP(A127,PW!A:C,2,0)</f>
        <v>Glycerolipid metabolism genome.jp</v>
      </c>
      <c r="C127" t="str">
        <f t="shared" si="1"/>
        <v>ALDH2-&gt;GLYCTK</v>
      </c>
      <c r="D127" t="s">
        <v>299</v>
      </c>
      <c r="E127" t="s">
        <v>731</v>
      </c>
      <c r="F127">
        <v>0.175604017</v>
      </c>
      <c r="G127">
        <v>0.175604017</v>
      </c>
      <c r="H127">
        <v>7.6392209999999999E-3</v>
      </c>
      <c r="I127">
        <v>0.19746267200000001</v>
      </c>
    </row>
    <row r="128" spans="1:9">
      <c r="A128" t="s">
        <v>158</v>
      </c>
      <c r="B128" t="str">
        <f>VLOOKUP(A128,PW!A:C,2,0)</f>
        <v>Glycosphingolipid biosynthesis – lacto &amp; neolacto series genome.jp</v>
      </c>
      <c r="C128" t="str">
        <f t="shared" si="1"/>
        <v>B4GALT3-&gt;FUT4</v>
      </c>
      <c r="D128" t="s">
        <v>471</v>
      </c>
      <c r="E128" t="s">
        <v>729</v>
      </c>
      <c r="F128">
        <v>-0.24225016799999999</v>
      </c>
      <c r="G128">
        <v>0.24225016799999999</v>
      </c>
      <c r="H128">
        <v>7.7598270000000004E-3</v>
      </c>
      <c r="I128">
        <v>0.19746267200000001</v>
      </c>
    </row>
    <row r="129" spans="1:9">
      <c r="A129" t="s">
        <v>41</v>
      </c>
      <c r="B129" t="str">
        <f>VLOOKUP(A129,PW!A:C,2,0)</f>
        <v>Fluid shear stress and atherosclerosis – Homo sapiens (human) KEGG</v>
      </c>
      <c r="C129" t="str">
        <f t="shared" si="1"/>
        <v>KLF2-&gt;HMOX1</v>
      </c>
      <c r="D129" t="s">
        <v>268</v>
      </c>
      <c r="E129" t="s">
        <v>311</v>
      </c>
      <c r="F129">
        <v>-0.86189168599999999</v>
      </c>
      <c r="G129">
        <v>0.86189168599999999</v>
      </c>
      <c r="H129">
        <v>7.7617839999999999E-3</v>
      </c>
      <c r="I129">
        <v>0.19746267200000001</v>
      </c>
    </row>
    <row r="130" spans="1:9">
      <c r="A130" t="s">
        <v>203</v>
      </c>
      <c r="B130" t="str">
        <f>VLOOKUP(A130,PW!A:C,2,0)</f>
        <v>African trypanosomiasis</v>
      </c>
      <c r="C130" t="str">
        <f t="shared" ref="C130:C193" si="2">D130&amp;"-&gt;"&amp;E130</f>
        <v>TNF-&gt;VCAM1</v>
      </c>
      <c r="D130" t="s">
        <v>478</v>
      </c>
      <c r="E130" t="s">
        <v>732</v>
      </c>
      <c r="F130">
        <v>-1.081010746</v>
      </c>
      <c r="G130">
        <v>1.081010746</v>
      </c>
      <c r="H130">
        <v>7.8108889999999997E-3</v>
      </c>
      <c r="I130">
        <v>0.19746267200000001</v>
      </c>
    </row>
    <row r="131" spans="1:9">
      <c r="A131" t="s">
        <v>130</v>
      </c>
      <c r="B131" t="str">
        <f>VLOOKUP(A131,PW!A:C,2,0)</f>
        <v>N‑Glycan biosynthesis KEGG</v>
      </c>
      <c r="C131" t="str">
        <f t="shared" si="2"/>
        <v>ALG6-&gt;ALG5</v>
      </c>
      <c r="D131" t="s">
        <v>280</v>
      </c>
      <c r="E131" t="s">
        <v>281</v>
      </c>
      <c r="F131">
        <v>0.71161446799999994</v>
      </c>
      <c r="G131">
        <v>0.71161446799999994</v>
      </c>
      <c r="H131">
        <v>7.9637530000000005E-3</v>
      </c>
      <c r="I131">
        <v>0.19746267200000001</v>
      </c>
    </row>
    <row r="132" spans="1:9">
      <c r="A132" t="s">
        <v>227</v>
      </c>
      <c r="B132" t="str">
        <f>VLOOKUP(A132,PW!A:C,2,0)</f>
        <v>Proteoglycans in cancer</v>
      </c>
      <c r="C132" t="str">
        <f t="shared" si="2"/>
        <v>MAPK1-&gt;PLAU</v>
      </c>
      <c r="D132" t="s">
        <v>337</v>
      </c>
      <c r="E132" t="s">
        <v>733</v>
      </c>
      <c r="F132">
        <v>-0.89632964000000004</v>
      </c>
      <c r="G132">
        <v>0.89632964000000004</v>
      </c>
      <c r="H132">
        <v>8.0054010000000005E-3</v>
      </c>
      <c r="I132">
        <v>0.19746267200000001</v>
      </c>
    </row>
    <row r="133" spans="1:9">
      <c r="A133" t="s">
        <v>130</v>
      </c>
      <c r="B133" t="str">
        <f>VLOOKUP(A133,PW!A:C,2,0)</f>
        <v>N‑Glycan biosynthesis KEGG</v>
      </c>
      <c r="C133" t="str">
        <f t="shared" si="2"/>
        <v>FUT8-&gt;B4GALT1</v>
      </c>
      <c r="D133" t="s">
        <v>422</v>
      </c>
      <c r="E133" t="s">
        <v>278</v>
      </c>
      <c r="F133">
        <v>0.33925382500000001</v>
      </c>
      <c r="G133">
        <v>0.33925382500000001</v>
      </c>
      <c r="H133">
        <v>8.0461200000000004E-3</v>
      </c>
      <c r="I133">
        <v>0.19746267200000001</v>
      </c>
    </row>
    <row r="134" spans="1:9">
      <c r="A134" t="s">
        <v>134</v>
      </c>
      <c r="B134" t="str">
        <f>VLOOKUP(A134,PW!A:C,2,0)</f>
        <v>Various types of N‑glycan biosynthesis KEGG</v>
      </c>
      <c r="C134" t="str">
        <f t="shared" si="2"/>
        <v>FUT8-&gt;B4GALT1</v>
      </c>
      <c r="D134" t="s">
        <v>422</v>
      </c>
      <c r="E134" t="s">
        <v>278</v>
      </c>
      <c r="F134">
        <v>0.33925382500000001</v>
      </c>
      <c r="G134">
        <v>0.33925382500000001</v>
      </c>
      <c r="H134">
        <v>8.0461200000000004E-3</v>
      </c>
      <c r="I134">
        <v>0.19746267200000001</v>
      </c>
    </row>
    <row r="135" spans="1:9">
      <c r="A135" t="s">
        <v>186</v>
      </c>
      <c r="B135" t="str">
        <f>VLOOKUP(A135,PW!A:C,2,0)</f>
        <v>Parathyroid hormone synthesis, secretion and action genome.jp</v>
      </c>
      <c r="C135" t="str">
        <f t="shared" si="2"/>
        <v>CREB3-&gt;CDKN1A</v>
      </c>
      <c r="D135" t="s">
        <v>264</v>
      </c>
      <c r="E135" t="s">
        <v>734</v>
      </c>
      <c r="F135">
        <v>0.53459901099999996</v>
      </c>
      <c r="G135">
        <v>0.53459901099999996</v>
      </c>
      <c r="H135">
        <v>8.5268089999999998E-3</v>
      </c>
      <c r="I135">
        <v>0.207697786</v>
      </c>
    </row>
    <row r="136" spans="1:9">
      <c r="A136" t="s">
        <v>185</v>
      </c>
      <c r="B136" t="str">
        <f>VLOOKUP(A136,PW!A:C,2,0)</f>
        <v>Phosphatidylinositol signaling system</v>
      </c>
      <c r="C136" t="str">
        <f t="shared" si="2"/>
        <v>INPP5F-&gt;PIKFYVE</v>
      </c>
      <c r="D136" t="s">
        <v>735</v>
      </c>
      <c r="E136" t="s">
        <v>639</v>
      </c>
      <c r="F136">
        <v>0.17293408199999999</v>
      </c>
      <c r="G136">
        <v>0.17293408199999999</v>
      </c>
      <c r="H136">
        <v>8.785246E-3</v>
      </c>
      <c r="I136">
        <v>0.21240772999999999</v>
      </c>
    </row>
    <row r="137" spans="1:9">
      <c r="A137" t="s">
        <v>96</v>
      </c>
      <c r="B137" t="str">
        <f>VLOOKUP(A137,PW!A:C,2,0)</f>
        <v>Galactose metabolism</v>
      </c>
      <c r="C137" t="str">
        <f t="shared" si="2"/>
        <v>GLA-&gt;GLB1</v>
      </c>
      <c r="D137" t="s">
        <v>492</v>
      </c>
      <c r="E137" t="s">
        <v>589</v>
      </c>
      <c r="F137">
        <v>-0.18929922199999999</v>
      </c>
      <c r="G137">
        <v>0.18929922199999999</v>
      </c>
      <c r="H137">
        <v>8.9859870000000008E-3</v>
      </c>
      <c r="I137">
        <v>0.21408949899999999</v>
      </c>
    </row>
    <row r="138" spans="1:9">
      <c r="A138" t="s">
        <v>156</v>
      </c>
      <c r="B138" t="str">
        <f>VLOOKUP(A138,PW!A:C,2,0)</f>
        <v>Sphingolipid metabolism genome.jp</v>
      </c>
      <c r="C138" t="str">
        <f t="shared" si="2"/>
        <v>GLA-&gt;GLB1</v>
      </c>
      <c r="D138" t="s">
        <v>492</v>
      </c>
      <c r="E138" t="s">
        <v>589</v>
      </c>
      <c r="F138">
        <v>-0.18929922199999999</v>
      </c>
      <c r="G138">
        <v>0.18929922199999999</v>
      </c>
      <c r="H138">
        <v>8.9859870000000008E-3</v>
      </c>
      <c r="I138">
        <v>0.21408949899999999</v>
      </c>
    </row>
    <row r="139" spans="1:9">
      <c r="A139" t="s">
        <v>101</v>
      </c>
      <c r="B139" t="str">
        <f>VLOOKUP(A139,PW!A:C,2,0)</f>
        <v>Purine metabolism</v>
      </c>
      <c r="C139" t="str">
        <f t="shared" si="2"/>
        <v>HDDC3-&gt;NME6</v>
      </c>
      <c r="D139" t="s">
        <v>593</v>
      </c>
      <c r="E139" t="s">
        <v>285</v>
      </c>
      <c r="F139">
        <v>-0.26984597799999999</v>
      </c>
      <c r="G139">
        <v>0.26984597799999999</v>
      </c>
      <c r="H139">
        <v>9.3044310000000002E-3</v>
      </c>
      <c r="I139">
        <v>0.220070024</v>
      </c>
    </row>
    <row r="140" spans="1:9">
      <c r="A140" t="s">
        <v>243</v>
      </c>
      <c r="B140" t="str">
        <f>VLOOKUP(A140,PW!A:C,2,0)</f>
        <v>Ferroptosis</v>
      </c>
      <c r="C140" t="str">
        <f t="shared" si="2"/>
        <v>FOXO3-&gt;CDKN1A</v>
      </c>
      <c r="D140" t="s">
        <v>736</v>
      </c>
      <c r="E140" t="s">
        <v>734</v>
      </c>
      <c r="F140">
        <v>-0.18829430999999999</v>
      </c>
      <c r="G140">
        <v>0.18829430999999999</v>
      </c>
      <c r="H140">
        <v>9.7155000000000002E-3</v>
      </c>
      <c r="I140">
        <v>0.226930101</v>
      </c>
    </row>
    <row r="141" spans="1:9">
      <c r="A141" t="s">
        <v>170</v>
      </c>
      <c r="B141" t="str">
        <f>VLOOKUP(A141,PW!A:C,2,0)</f>
        <v>One carbon pool by folate</v>
      </c>
      <c r="C141" t="str">
        <f t="shared" si="2"/>
        <v>MTHFD1-&gt;SARDH</v>
      </c>
      <c r="D141" t="s">
        <v>423</v>
      </c>
      <c r="E141" t="s">
        <v>737</v>
      </c>
      <c r="F141">
        <v>1.0082310800000001</v>
      </c>
      <c r="G141">
        <v>1.0082310800000001</v>
      </c>
      <c r="H141">
        <v>9.7335210000000002E-3</v>
      </c>
      <c r="I141">
        <v>0.226930101</v>
      </c>
    </row>
    <row r="142" spans="1:9">
      <c r="A142" t="s">
        <v>100</v>
      </c>
      <c r="B142" t="str">
        <f>VLOOKUP(A142,PW!A:C,2,0)</f>
        <v>Primary bile acid biosynthesis</v>
      </c>
      <c r="C142" t="str">
        <f t="shared" si="2"/>
        <v>CYP7B1-&gt;HSD3B7</v>
      </c>
      <c r="D142" t="s">
        <v>573</v>
      </c>
      <c r="E142" t="s">
        <v>574</v>
      </c>
      <c r="F142">
        <v>0.283870909</v>
      </c>
      <c r="G142">
        <v>0.283870909</v>
      </c>
      <c r="H142">
        <v>9.8902339999999995E-3</v>
      </c>
      <c r="I142">
        <v>0.228948384</v>
      </c>
    </row>
    <row r="143" spans="1:9">
      <c r="A143" t="s">
        <v>24</v>
      </c>
      <c r="B143" t="str">
        <f>VLOOKUP(A143,PW!A:C,2,0)</f>
        <v>Mitophagy – animal</v>
      </c>
      <c r="C143" t="str">
        <f t="shared" si="2"/>
        <v>CITED2-&gt;BNIP3L</v>
      </c>
      <c r="D143" t="s">
        <v>738</v>
      </c>
      <c r="E143" t="s">
        <v>316</v>
      </c>
      <c r="F143">
        <v>0.86233315099999996</v>
      </c>
      <c r="G143">
        <v>0.86233315099999996</v>
      </c>
      <c r="H143">
        <v>1.0412233E-2</v>
      </c>
      <c r="I143">
        <v>0.239334717</v>
      </c>
    </row>
    <row r="144" spans="1:9">
      <c r="A144" t="s">
        <v>152</v>
      </c>
      <c r="B144" t="str">
        <f>VLOOKUP(A144,PW!A:C,2,0)</f>
        <v>cAMP signaling pathway</v>
      </c>
      <c r="C144" t="str">
        <f t="shared" si="2"/>
        <v>CREB3-&gt;JUN</v>
      </c>
      <c r="D144" t="s">
        <v>264</v>
      </c>
      <c r="E144" t="s">
        <v>367</v>
      </c>
      <c r="F144">
        <v>0.58441690099999999</v>
      </c>
      <c r="G144">
        <v>0.58441690099999999</v>
      </c>
      <c r="H144">
        <v>1.0888027999999999E-2</v>
      </c>
      <c r="I144">
        <v>0.248443952</v>
      </c>
    </row>
    <row r="145" spans="1:9">
      <c r="A145" t="s">
        <v>153</v>
      </c>
      <c r="B145" t="str">
        <f>VLOOKUP(A145,PW!A:C,2,0)</f>
        <v>Arachidonic acid metabolism genome.jp</v>
      </c>
      <c r="C145" t="str">
        <f t="shared" si="2"/>
        <v>ALOX15B-&gt;PTGS1</v>
      </c>
      <c r="D145" t="s">
        <v>656</v>
      </c>
      <c r="E145" t="s">
        <v>637</v>
      </c>
      <c r="F145">
        <v>0.15699401299999999</v>
      </c>
      <c r="G145">
        <v>0.15699401299999999</v>
      </c>
      <c r="H145">
        <v>1.0960763E-2</v>
      </c>
      <c r="I145">
        <v>0.248443952</v>
      </c>
    </row>
    <row r="146" spans="1:9">
      <c r="A146" t="s">
        <v>134</v>
      </c>
      <c r="B146" t="str">
        <f>VLOOKUP(A146,PW!A:C,2,0)</f>
        <v>Various types of N‑glycan biosynthesis KEGG</v>
      </c>
      <c r="C146" t="str">
        <f t="shared" si="2"/>
        <v>B4GALT1-&gt;B4GALNT3</v>
      </c>
      <c r="D146" t="s">
        <v>278</v>
      </c>
      <c r="E146" t="s">
        <v>521</v>
      </c>
      <c r="F146">
        <v>-1.2494286189999999</v>
      </c>
      <c r="G146">
        <v>1.2494286189999999</v>
      </c>
      <c r="H146">
        <v>1.1107680999999999E-2</v>
      </c>
      <c r="I146">
        <v>0.24873182699999999</v>
      </c>
    </row>
    <row r="147" spans="1:9">
      <c r="A147" t="s">
        <v>230</v>
      </c>
      <c r="B147" t="str">
        <f>VLOOKUP(A147,PW!A:C,2,0)</f>
        <v>Histidine metabolism</v>
      </c>
      <c r="C147" t="str">
        <f t="shared" si="2"/>
        <v>HAL-&gt;HDC</v>
      </c>
      <c r="D147" t="s">
        <v>739</v>
      </c>
      <c r="E147" t="s">
        <v>689</v>
      </c>
      <c r="F147">
        <v>-0.92269703300000006</v>
      </c>
      <c r="G147">
        <v>0.92269703300000006</v>
      </c>
      <c r="H147">
        <v>1.1125872E-2</v>
      </c>
      <c r="I147">
        <v>0.24873182699999999</v>
      </c>
    </row>
    <row r="148" spans="1:9">
      <c r="A148" t="s">
        <v>109</v>
      </c>
      <c r="B148" t="str">
        <f>VLOOKUP(A148,PW!A:C,2,0)</f>
        <v>Valine, leucine and isoleucine degradation</v>
      </c>
      <c r="C148" t="str">
        <f t="shared" si="2"/>
        <v>ACADM-&gt;DBT</v>
      </c>
      <c r="D148" t="s">
        <v>587</v>
      </c>
      <c r="E148" t="s">
        <v>580</v>
      </c>
      <c r="F148">
        <v>-0.25282501000000002</v>
      </c>
      <c r="G148">
        <v>0.25282501000000002</v>
      </c>
      <c r="H148">
        <v>1.1533774E-2</v>
      </c>
      <c r="I148">
        <v>0.25444918900000002</v>
      </c>
    </row>
    <row r="149" spans="1:9">
      <c r="A149" t="s">
        <v>126</v>
      </c>
      <c r="B149" t="str">
        <f>VLOOKUP(A149,PW!A:C,2,0)</f>
        <v>Glutathione metabolism KEGG</v>
      </c>
      <c r="C149" t="str">
        <f t="shared" si="2"/>
        <v>GGCT-&gt;CHAC2</v>
      </c>
      <c r="D149" t="s">
        <v>740</v>
      </c>
      <c r="E149" t="s">
        <v>644</v>
      </c>
      <c r="F149">
        <v>0.63439303700000005</v>
      </c>
      <c r="G149">
        <v>0.63439303700000005</v>
      </c>
      <c r="H149">
        <v>1.1557423000000001E-2</v>
      </c>
      <c r="I149">
        <v>0.25444918900000002</v>
      </c>
    </row>
    <row r="150" spans="1:9">
      <c r="A150" t="s">
        <v>102</v>
      </c>
      <c r="B150" t="str">
        <f>VLOOKUP(A150,PW!A:C,2,0)</f>
        <v>Pyrimidine metabolism</v>
      </c>
      <c r="C150" t="str">
        <f t="shared" si="2"/>
        <v>NME6-&gt;DTYMK</v>
      </c>
      <c r="D150" t="s">
        <v>285</v>
      </c>
      <c r="E150" t="s">
        <v>286</v>
      </c>
      <c r="F150">
        <v>0.80494317299999996</v>
      </c>
      <c r="G150">
        <v>0.80494317299999996</v>
      </c>
      <c r="H150">
        <v>1.1615481E-2</v>
      </c>
      <c r="I150">
        <v>0.25444918900000002</v>
      </c>
    </row>
    <row r="151" spans="1:9">
      <c r="A151" t="s">
        <v>102</v>
      </c>
      <c r="B151" t="str">
        <f>VLOOKUP(A151,PW!A:C,2,0)</f>
        <v>Pyrimidine metabolism</v>
      </c>
      <c r="C151" t="str">
        <f t="shared" si="2"/>
        <v>ENPP1-&gt;TK1</v>
      </c>
      <c r="D151" t="s">
        <v>577</v>
      </c>
      <c r="E151" t="s">
        <v>679</v>
      </c>
      <c r="F151">
        <v>0.30718392799999999</v>
      </c>
      <c r="G151">
        <v>0.30718392799999999</v>
      </c>
      <c r="H151">
        <v>1.1751833E-2</v>
      </c>
      <c r="I151">
        <v>0.25571988200000001</v>
      </c>
    </row>
    <row r="152" spans="1:9">
      <c r="A152" t="s">
        <v>97</v>
      </c>
      <c r="B152" t="str">
        <f>VLOOKUP(A152,PW!A:C,2,0)</f>
        <v>Fatty acid biosynthesis</v>
      </c>
      <c r="C152" t="str">
        <f t="shared" si="2"/>
        <v>OXSM-&gt;HSD17B8</v>
      </c>
      <c r="D152" t="s">
        <v>394</v>
      </c>
      <c r="E152" t="s">
        <v>395</v>
      </c>
      <c r="F152">
        <v>-0.55053640299999995</v>
      </c>
      <c r="G152">
        <v>0.55053640299999995</v>
      </c>
      <c r="H152">
        <v>1.2212311999999999E-2</v>
      </c>
      <c r="I152">
        <v>0.26398003599999997</v>
      </c>
    </row>
    <row r="153" spans="1:9">
      <c r="A153" t="s">
        <v>119</v>
      </c>
      <c r="B153" t="str">
        <f>VLOOKUP(A153,PW!A:C,2,0)</f>
        <v>Tryptophan metabolism genome.jp</v>
      </c>
      <c r="C153" t="str">
        <f t="shared" si="2"/>
        <v>KYNU-&gt;AFMID</v>
      </c>
      <c r="D153" t="s">
        <v>529</v>
      </c>
      <c r="E153" t="s">
        <v>705</v>
      </c>
      <c r="F153">
        <v>-0.211017959</v>
      </c>
      <c r="G153">
        <v>0.211017959</v>
      </c>
      <c r="H153">
        <v>1.2335805E-2</v>
      </c>
      <c r="I153">
        <v>0.26437363400000002</v>
      </c>
    </row>
    <row r="154" spans="1:9">
      <c r="A154" t="s">
        <v>109</v>
      </c>
      <c r="B154" t="str">
        <f>VLOOKUP(A154,PW!A:C,2,0)</f>
        <v>Valine, leucine and isoleucine degradation</v>
      </c>
      <c r="C154" t="str">
        <f t="shared" si="2"/>
        <v>ACAD8-&gt;ECHS1</v>
      </c>
      <c r="D154" t="s">
        <v>392</v>
      </c>
      <c r="E154" t="s">
        <v>393</v>
      </c>
      <c r="F154">
        <v>0.54180441599999996</v>
      </c>
      <c r="G154">
        <v>0.54180441599999996</v>
      </c>
      <c r="H154">
        <v>1.2392514E-2</v>
      </c>
      <c r="I154">
        <v>0.26437363400000002</v>
      </c>
    </row>
    <row r="155" spans="1:9">
      <c r="A155" t="s">
        <v>105</v>
      </c>
      <c r="B155" t="str">
        <f>VLOOKUP(A155,PW!A:C,2,0)</f>
        <v>Glycine, serine and threonine metabolism</v>
      </c>
      <c r="C155" t="str">
        <f t="shared" si="2"/>
        <v>PSPH-&gt;SHMT1</v>
      </c>
      <c r="D155" t="s">
        <v>720</v>
      </c>
      <c r="E155" t="s">
        <v>463</v>
      </c>
      <c r="F155">
        <v>0.351762085</v>
      </c>
      <c r="G155">
        <v>0.351762085</v>
      </c>
      <c r="H155">
        <v>1.2631849000000001E-2</v>
      </c>
      <c r="I155">
        <v>0.26449464700000003</v>
      </c>
    </row>
    <row r="156" spans="1:9">
      <c r="A156" t="s">
        <v>40</v>
      </c>
      <c r="B156" t="str">
        <f>VLOOKUP(A156,PW!A:C,2,0)</f>
        <v>Toll‑like receptor signaling pathway</v>
      </c>
      <c r="C156" t="str">
        <f t="shared" si="2"/>
        <v>FOS-&gt;CCL5</v>
      </c>
      <c r="D156" t="s">
        <v>319</v>
      </c>
      <c r="E156" t="s">
        <v>741</v>
      </c>
      <c r="F156">
        <v>0.47213326999999999</v>
      </c>
      <c r="G156">
        <v>0.47213326999999999</v>
      </c>
      <c r="H156">
        <v>1.2641288000000001E-2</v>
      </c>
      <c r="I156">
        <v>0.26449464700000003</v>
      </c>
    </row>
    <row r="157" spans="1:9">
      <c r="A157" t="s">
        <v>108</v>
      </c>
      <c r="B157" t="str">
        <f>VLOOKUP(A157,PW!A:C,2,0)</f>
        <v>Chagas disease (American trypanosomiasis)</v>
      </c>
      <c r="C157" t="str">
        <f t="shared" si="2"/>
        <v>FOS-&gt;CCL5</v>
      </c>
      <c r="D157" t="s">
        <v>319</v>
      </c>
      <c r="E157" t="s">
        <v>741</v>
      </c>
      <c r="F157">
        <v>0.47213326999999999</v>
      </c>
      <c r="G157">
        <v>0.47213326999999999</v>
      </c>
      <c r="H157">
        <v>1.2641288000000001E-2</v>
      </c>
      <c r="I157">
        <v>0.26449464700000003</v>
      </c>
    </row>
    <row r="158" spans="1:9">
      <c r="A158" t="s">
        <v>170</v>
      </c>
      <c r="B158" t="str">
        <f>VLOOKUP(A158,PW!A:C,2,0)</f>
        <v>One carbon pool by folate</v>
      </c>
      <c r="C158" t="str">
        <f t="shared" si="2"/>
        <v>SHMT1-&gt;MTR</v>
      </c>
      <c r="D158" t="s">
        <v>463</v>
      </c>
      <c r="E158" t="s">
        <v>626</v>
      </c>
      <c r="F158">
        <v>-0.24415215400000001</v>
      </c>
      <c r="G158">
        <v>0.24415215400000001</v>
      </c>
      <c r="H158">
        <v>1.2787639E-2</v>
      </c>
      <c r="I158">
        <v>0.26585257000000001</v>
      </c>
    </row>
    <row r="159" spans="1:9">
      <c r="A159" t="s">
        <v>111</v>
      </c>
      <c r="B159" t="str">
        <f>VLOOKUP(A159,PW!A:C,2,0)</f>
        <v>Lysine degradation</v>
      </c>
      <c r="C159" t="str">
        <f t="shared" si="2"/>
        <v>PHYKPL-&gt;AASS</v>
      </c>
      <c r="D159" t="s">
        <v>742</v>
      </c>
      <c r="E159" t="s">
        <v>730</v>
      </c>
      <c r="F159">
        <v>0.60304086499999998</v>
      </c>
      <c r="G159">
        <v>0.60304086499999998</v>
      </c>
      <c r="H159">
        <v>1.3203952999999999E-2</v>
      </c>
      <c r="I159">
        <v>0.272770279</v>
      </c>
    </row>
    <row r="160" spans="1:9">
      <c r="A160" t="s">
        <v>129</v>
      </c>
      <c r="B160" t="str">
        <f>VLOOKUP(A160,PW!A:C,2,0)</f>
        <v>IL‑17 signaling pathway</v>
      </c>
      <c r="C160" t="str">
        <f t="shared" si="2"/>
        <v>CEBPB-&gt;TNF</v>
      </c>
      <c r="D160" t="s">
        <v>366</v>
      </c>
      <c r="E160" t="s">
        <v>478</v>
      </c>
      <c r="F160">
        <v>-0.287387685</v>
      </c>
      <c r="G160">
        <v>0.287387685</v>
      </c>
      <c r="H160">
        <v>1.3646559000000001E-2</v>
      </c>
      <c r="I160">
        <v>0.27680254500000001</v>
      </c>
    </row>
    <row r="161" spans="1:9">
      <c r="A161" t="s">
        <v>132</v>
      </c>
      <c r="B161" t="str">
        <f>VLOOKUP(A161,PW!A:C,2,0)</f>
        <v>Mucin‑type O‑glycan biosynthesis KEGG</v>
      </c>
      <c r="C161" t="str">
        <f t="shared" si="2"/>
        <v>ST3GAL1-&gt;C1GALT1C1</v>
      </c>
      <c r="D161" t="s">
        <v>692</v>
      </c>
      <c r="E161" t="s">
        <v>586</v>
      </c>
      <c r="F161">
        <v>-0.28175432099999997</v>
      </c>
      <c r="G161">
        <v>0.28175432099999997</v>
      </c>
      <c r="H161">
        <v>1.3665048000000001E-2</v>
      </c>
      <c r="I161">
        <v>0.27680254500000001</v>
      </c>
    </row>
    <row r="162" spans="1:9">
      <c r="A162" t="s">
        <v>149</v>
      </c>
      <c r="B162" t="str">
        <f>VLOOKUP(A162,PW!A:C,2,0)</f>
        <v>Glycerophospholipid metabolism KEGG</v>
      </c>
      <c r="C162" t="str">
        <f t="shared" si="2"/>
        <v>CEPT1-&gt;PISD</v>
      </c>
      <c r="D162" t="s">
        <v>295</v>
      </c>
      <c r="E162" t="s">
        <v>447</v>
      </c>
      <c r="F162">
        <v>-0.829507879</v>
      </c>
      <c r="G162">
        <v>0.829507879</v>
      </c>
      <c r="H162">
        <v>1.3831421E-2</v>
      </c>
      <c r="I162">
        <v>0.27680254500000001</v>
      </c>
    </row>
    <row r="163" spans="1:9">
      <c r="A163" t="s">
        <v>99</v>
      </c>
      <c r="B163" t="str">
        <f>VLOOKUP(A163,PW!A:C,2,0)</f>
        <v>Fatty acid degradation</v>
      </c>
      <c r="C163" t="str">
        <f t="shared" si="2"/>
        <v>ECHS1-&gt;GCDH</v>
      </c>
      <c r="D163" t="s">
        <v>393</v>
      </c>
      <c r="E163" t="s">
        <v>743</v>
      </c>
      <c r="F163">
        <v>-0.23359036999999999</v>
      </c>
      <c r="G163">
        <v>0.23359036999999999</v>
      </c>
      <c r="H163">
        <v>1.4071132E-2</v>
      </c>
      <c r="I163">
        <v>0.27680254500000001</v>
      </c>
    </row>
    <row r="164" spans="1:9">
      <c r="A164" t="s">
        <v>111</v>
      </c>
      <c r="B164" t="str">
        <f>VLOOKUP(A164,PW!A:C,2,0)</f>
        <v>Lysine degradation</v>
      </c>
      <c r="C164" t="str">
        <f t="shared" si="2"/>
        <v>ECHS1-&gt;GCDH</v>
      </c>
      <c r="D164" t="s">
        <v>393</v>
      </c>
      <c r="E164" t="s">
        <v>743</v>
      </c>
      <c r="F164">
        <v>-0.23359036999999999</v>
      </c>
      <c r="G164">
        <v>0.23359036999999999</v>
      </c>
      <c r="H164">
        <v>1.4071132E-2</v>
      </c>
      <c r="I164">
        <v>0.27680254500000001</v>
      </c>
    </row>
    <row r="165" spans="1:9">
      <c r="A165" t="s">
        <v>119</v>
      </c>
      <c r="B165" t="str">
        <f>VLOOKUP(A165,PW!A:C,2,0)</f>
        <v>Tryptophan metabolism genome.jp</v>
      </c>
      <c r="C165" t="str">
        <f t="shared" si="2"/>
        <v>ECHS1-&gt;GCDH</v>
      </c>
      <c r="D165" t="s">
        <v>393</v>
      </c>
      <c r="E165" t="s">
        <v>743</v>
      </c>
      <c r="F165">
        <v>-0.23359036999999999</v>
      </c>
      <c r="G165">
        <v>0.23359036999999999</v>
      </c>
      <c r="H165">
        <v>1.4071132E-2</v>
      </c>
      <c r="I165">
        <v>0.27680254500000001</v>
      </c>
    </row>
    <row r="166" spans="1:9">
      <c r="A166" t="s">
        <v>102</v>
      </c>
      <c r="B166" t="str">
        <f>VLOOKUP(A166,PW!A:C,2,0)</f>
        <v>Pyrimidine metabolism</v>
      </c>
      <c r="C166" t="str">
        <f t="shared" si="2"/>
        <v>NME6-&gt;CTPS1</v>
      </c>
      <c r="D166" t="s">
        <v>285</v>
      </c>
      <c r="E166" t="s">
        <v>391</v>
      </c>
      <c r="F166">
        <v>0.59346241899999996</v>
      </c>
      <c r="G166">
        <v>0.59346241899999996</v>
      </c>
      <c r="H166">
        <v>1.4133021000000001E-2</v>
      </c>
      <c r="I166">
        <v>0.27680254500000001</v>
      </c>
    </row>
    <row r="167" spans="1:9">
      <c r="A167" t="s">
        <v>156</v>
      </c>
      <c r="B167" t="str">
        <f>VLOOKUP(A167,PW!A:C,2,0)</f>
        <v>Sphingolipid metabolism genome.jp</v>
      </c>
      <c r="C167" t="str">
        <f t="shared" si="2"/>
        <v>CERK-&gt;UGCG</v>
      </c>
      <c r="D167" t="s">
        <v>744</v>
      </c>
      <c r="E167" t="s">
        <v>620</v>
      </c>
      <c r="F167">
        <v>-1.2375182950000001</v>
      </c>
      <c r="G167">
        <v>1.2375182950000001</v>
      </c>
      <c r="H167">
        <v>1.4218402999999999E-2</v>
      </c>
      <c r="I167">
        <v>0.27680254500000001</v>
      </c>
    </row>
    <row r="168" spans="1:9">
      <c r="A168" t="s">
        <v>181</v>
      </c>
      <c r="B168" t="str">
        <f>VLOOKUP(A168,PW!A:C,2,0)</f>
        <v>Longevity regulating pathway</v>
      </c>
      <c r="C168" t="str">
        <f t="shared" si="2"/>
        <v>FOXO1-&gt;ATG5</v>
      </c>
      <c r="D168" t="s">
        <v>348</v>
      </c>
      <c r="E168" t="s">
        <v>745</v>
      </c>
      <c r="F168">
        <v>-0.31118893800000003</v>
      </c>
      <c r="G168">
        <v>0.31118893800000003</v>
      </c>
      <c r="H168">
        <v>1.4323348E-2</v>
      </c>
      <c r="I168">
        <v>0.27680254500000001</v>
      </c>
    </row>
    <row r="169" spans="1:9">
      <c r="A169" t="s">
        <v>242</v>
      </c>
      <c r="B169" t="str">
        <f>VLOOKUP(A169,PW!A:C,2,0)</f>
        <v>Longevity regulating pathway</v>
      </c>
      <c r="C169" t="str">
        <f t="shared" si="2"/>
        <v>FOXO1-&gt;ATG5</v>
      </c>
      <c r="D169" t="s">
        <v>348</v>
      </c>
      <c r="E169" t="s">
        <v>745</v>
      </c>
      <c r="F169">
        <v>-0.31118893800000003</v>
      </c>
      <c r="G169">
        <v>0.31118893800000003</v>
      </c>
      <c r="H169">
        <v>1.4323348E-2</v>
      </c>
      <c r="I169">
        <v>0.27680254500000001</v>
      </c>
    </row>
    <row r="170" spans="1:9">
      <c r="A170" t="s">
        <v>144</v>
      </c>
      <c r="B170" t="str">
        <f>VLOOKUP(A170,PW!A:C,2,0)</f>
        <v>Biosynthesis of various nucleotide sugars KEGG</v>
      </c>
      <c r="C170" t="str">
        <f t="shared" si="2"/>
        <v>UAP1-&gt;GNE</v>
      </c>
      <c r="D170" t="s">
        <v>676</v>
      </c>
      <c r="E170" t="s">
        <v>746</v>
      </c>
      <c r="F170">
        <v>-0.20674574400000001</v>
      </c>
      <c r="G170">
        <v>0.20674574400000001</v>
      </c>
      <c r="H170">
        <v>1.4353797999999999E-2</v>
      </c>
      <c r="I170">
        <v>0.27680254500000001</v>
      </c>
    </row>
    <row r="171" spans="1:9">
      <c r="A171" t="s">
        <v>113</v>
      </c>
      <c r="B171" t="str">
        <f>VLOOKUP(A171,PW!A:C,2,0)</f>
        <v>Arginine and proline metabolism</v>
      </c>
      <c r="C171" t="str">
        <f t="shared" si="2"/>
        <v>PYCR2-&gt;LAP3</v>
      </c>
      <c r="D171" t="s">
        <v>747</v>
      </c>
      <c r="E171" t="s">
        <v>699</v>
      </c>
      <c r="F171">
        <v>-0.93834817000000004</v>
      </c>
      <c r="G171">
        <v>0.93834817000000004</v>
      </c>
      <c r="H171">
        <v>1.4527164E-2</v>
      </c>
      <c r="I171">
        <v>0.27680254500000001</v>
      </c>
    </row>
    <row r="172" spans="1:9">
      <c r="A172" t="s">
        <v>105</v>
      </c>
      <c r="B172" t="str">
        <f>VLOOKUP(A172,PW!A:C,2,0)</f>
        <v>Glycine, serine and threonine metabolism</v>
      </c>
      <c r="C172" t="str">
        <f t="shared" si="2"/>
        <v>SHMT1-&gt;GNMT</v>
      </c>
      <c r="D172" t="s">
        <v>463</v>
      </c>
      <c r="E172" t="s">
        <v>283</v>
      </c>
      <c r="F172">
        <v>0.50239059900000005</v>
      </c>
      <c r="G172">
        <v>0.50239059900000005</v>
      </c>
      <c r="H172">
        <v>1.4874459E-2</v>
      </c>
      <c r="I172">
        <v>0.27680254500000001</v>
      </c>
    </row>
    <row r="173" spans="1:9">
      <c r="A173" t="s">
        <v>146</v>
      </c>
      <c r="B173" t="str">
        <f>VLOOKUP(A173,PW!A:C,2,0)</f>
        <v>Glycerolipid metabolism genome.jp</v>
      </c>
      <c r="C173" t="str">
        <f t="shared" si="2"/>
        <v>CEL-&gt;CEL</v>
      </c>
      <c r="D173" t="s">
        <v>611</v>
      </c>
      <c r="E173" t="s">
        <v>611</v>
      </c>
      <c r="F173" s="1">
        <v>-4.1000000000000001E-16</v>
      </c>
      <c r="G173" s="1">
        <v>4.09842E-16</v>
      </c>
      <c r="H173">
        <v>1.4934589E-2</v>
      </c>
      <c r="I173">
        <v>0.27680254500000001</v>
      </c>
    </row>
    <row r="174" spans="1:9">
      <c r="A174" t="s">
        <v>40</v>
      </c>
      <c r="B174" t="str">
        <f>VLOOKUP(A174,PW!A:C,2,0)</f>
        <v>Toll‑like receptor signaling pathway</v>
      </c>
      <c r="C174" t="str">
        <f t="shared" si="2"/>
        <v>NFKB1-&gt;CCL3L3</v>
      </c>
      <c r="D174" t="s">
        <v>272</v>
      </c>
      <c r="E174" t="s">
        <v>748</v>
      </c>
      <c r="F174">
        <v>-1.940716911</v>
      </c>
      <c r="G174">
        <v>1.940716911</v>
      </c>
      <c r="H174">
        <v>1.4959413E-2</v>
      </c>
      <c r="I174">
        <v>0.27680254500000001</v>
      </c>
    </row>
    <row r="175" spans="1:9">
      <c r="A175" t="s">
        <v>131</v>
      </c>
      <c r="B175" t="str">
        <f>VLOOKUP(A175,PW!A:C,2,0)</f>
        <v>Lipid and atherosclerosis – Homo sapiens (human) KEGG</v>
      </c>
      <c r="C175" t="str">
        <f t="shared" si="2"/>
        <v>NFKB1-&gt;CCL3L3</v>
      </c>
      <c r="D175" t="s">
        <v>272</v>
      </c>
      <c r="E175" t="s">
        <v>748</v>
      </c>
      <c r="F175">
        <v>-1.940716911</v>
      </c>
      <c r="G175">
        <v>1.940716911</v>
      </c>
      <c r="H175">
        <v>1.4959413E-2</v>
      </c>
      <c r="I175">
        <v>0.27680254500000001</v>
      </c>
    </row>
    <row r="176" spans="1:9">
      <c r="A176" t="s">
        <v>129</v>
      </c>
      <c r="B176" t="str">
        <f>VLOOKUP(A176,PW!A:C,2,0)</f>
        <v>IL‑17 signaling pathway</v>
      </c>
      <c r="C176" t="str">
        <f t="shared" si="2"/>
        <v>NFKB1-&gt;LCN2</v>
      </c>
      <c r="D176" t="s">
        <v>272</v>
      </c>
      <c r="E176" t="s">
        <v>749</v>
      </c>
      <c r="F176">
        <v>-1.4839796199999999</v>
      </c>
      <c r="G176">
        <v>1.4839796199999999</v>
      </c>
      <c r="H176">
        <v>1.4962403000000001E-2</v>
      </c>
      <c r="I176">
        <v>0.27680254500000001</v>
      </c>
    </row>
    <row r="177" spans="1:9">
      <c r="A177" t="s">
        <v>137</v>
      </c>
      <c r="B177" t="str">
        <f>VLOOKUP(A177,PW!A:C,2,0)</f>
        <v>Retinol metabolism</v>
      </c>
      <c r="C177" t="str">
        <f t="shared" si="2"/>
        <v>RETSAT-&gt;DHRS9</v>
      </c>
      <c r="D177" t="s">
        <v>360</v>
      </c>
      <c r="E177" t="s">
        <v>750</v>
      </c>
      <c r="F177">
        <v>0.98573822499999997</v>
      </c>
      <c r="G177">
        <v>0.98573822499999997</v>
      </c>
      <c r="H177">
        <v>1.4967078E-2</v>
      </c>
      <c r="I177">
        <v>0.27680254500000001</v>
      </c>
    </row>
    <row r="178" spans="1:9">
      <c r="A178" t="s">
        <v>121</v>
      </c>
      <c r="B178" t="str">
        <f>VLOOKUP(A178,PW!A:C,2,0)</f>
        <v>β-Alanine metabolism KEGG</v>
      </c>
      <c r="C178" t="str">
        <f t="shared" si="2"/>
        <v>GAD1-&gt;CARNS1</v>
      </c>
      <c r="D178" t="s">
        <v>751</v>
      </c>
      <c r="E178" t="s">
        <v>468</v>
      </c>
      <c r="F178">
        <v>0.21417641000000001</v>
      </c>
      <c r="G178">
        <v>0.21417641000000001</v>
      </c>
      <c r="H178">
        <v>1.5179806000000001E-2</v>
      </c>
      <c r="I178">
        <v>0.27680254500000001</v>
      </c>
    </row>
    <row r="179" spans="1:9">
      <c r="A179" t="s">
        <v>190</v>
      </c>
      <c r="B179" t="str">
        <f>VLOOKUP(A179,PW!A:C,2,0)</f>
        <v>Thyroid hormone signaling pathway KEGG</v>
      </c>
      <c r="C179" t="str">
        <f t="shared" si="2"/>
        <v>THRB-&gt;CTNNB1</v>
      </c>
      <c r="D179" t="s">
        <v>475</v>
      </c>
      <c r="E179" t="s">
        <v>258</v>
      </c>
      <c r="F179">
        <v>6.9521914000000004E-2</v>
      </c>
      <c r="G179">
        <v>6.9521914000000004E-2</v>
      </c>
      <c r="H179">
        <v>1.5187633000000001E-2</v>
      </c>
      <c r="I179">
        <v>0.27680254500000001</v>
      </c>
    </row>
    <row r="180" spans="1:9">
      <c r="A180" t="s">
        <v>158</v>
      </c>
      <c r="B180" t="str">
        <f>VLOOKUP(A180,PW!A:C,2,0)</f>
        <v>Glycosphingolipid biosynthesis – lacto &amp; neolacto series genome.jp</v>
      </c>
      <c r="C180" t="str">
        <f t="shared" si="2"/>
        <v>FUT4-&gt;FUT4</v>
      </c>
      <c r="D180" t="s">
        <v>729</v>
      </c>
      <c r="E180" t="s">
        <v>729</v>
      </c>
      <c r="F180" s="1">
        <v>-2.4E-16</v>
      </c>
      <c r="G180" s="1">
        <v>2.4028599999999999E-16</v>
      </c>
      <c r="H180">
        <v>1.5389475999999999E-2</v>
      </c>
      <c r="I180">
        <v>0.27680254500000001</v>
      </c>
    </row>
    <row r="181" spans="1:9">
      <c r="A181" t="s">
        <v>101</v>
      </c>
      <c r="B181" t="str">
        <f>VLOOKUP(A181,PW!A:C,2,0)</f>
        <v>Purine metabolism</v>
      </c>
      <c r="C181" t="str">
        <f t="shared" si="2"/>
        <v>PAICS-&gt;PAICS</v>
      </c>
      <c r="D181" t="s">
        <v>752</v>
      </c>
      <c r="E181" t="s">
        <v>752</v>
      </c>
      <c r="F181" s="1">
        <v>8.77E-17</v>
      </c>
      <c r="G181" s="1">
        <v>8.7660799999999995E-17</v>
      </c>
      <c r="H181">
        <v>1.5485495E-2</v>
      </c>
      <c r="I181">
        <v>0.27680254500000001</v>
      </c>
    </row>
    <row r="182" spans="1:9">
      <c r="A182" t="s">
        <v>157</v>
      </c>
      <c r="B182" t="str">
        <f>VLOOKUP(A182,PW!A:C,2,0)</f>
        <v>Oxytocin signaling pathway KEGG</v>
      </c>
      <c r="C182" t="str">
        <f t="shared" si="2"/>
        <v>MAPK1-&gt;JUN</v>
      </c>
      <c r="D182" t="s">
        <v>337</v>
      </c>
      <c r="E182" t="s">
        <v>367</v>
      </c>
      <c r="F182">
        <v>-0.53708767899999998</v>
      </c>
      <c r="G182">
        <v>0.53708767899999998</v>
      </c>
      <c r="H182">
        <v>1.5496443E-2</v>
      </c>
      <c r="I182">
        <v>0.27680254500000001</v>
      </c>
    </row>
    <row r="183" spans="1:9">
      <c r="A183" t="s">
        <v>124</v>
      </c>
      <c r="B183" t="str">
        <f>VLOOKUP(A183,PW!A:C,2,0)</f>
        <v>Selenocompound metabolism genome.jp</v>
      </c>
      <c r="C183" t="str">
        <f t="shared" si="2"/>
        <v>KYAT3-&gt;TXNRD2</v>
      </c>
      <c r="D183" t="s">
        <v>481</v>
      </c>
      <c r="E183" t="s">
        <v>565</v>
      </c>
      <c r="F183">
        <v>0.81219059000000005</v>
      </c>
      <c r="G183">
        <v>0.81219059000000005</v>
      </c>
      <c r="H183">
        <v>1.5536497999999999E-2</v>
      </c>
      <c r="I183">
        <v>0.27680254500000001</v>
      </c>
    </row>
    <row r="184" spans="1:9">
      <c r="A184" t="s">
        <v>175</v>
      </c>
      <c r="B184" t="str">
        <f>VLOOKUP(A184,PW!A:C,2,0)</f>
        <v>Lipoic acid metabolism</v>
      </c>
      <c r="C184" t="str">
        <f t="shared" si="2"/>
        <v>LIPT2-&gt;LIAS</v>
      </c>
      <c r="D184" t="s">
        <v>753</v>
      </c>
      <c r="E184" t="s">
        <v>754</v>
      </c>
      <c r="F184">
        <v>-0.119869799</v>
      </c>
      <c r="G184">
        <v>0.119869799</v>
      </c>
      <c r="H184">
        <v>1.5769885000000001E-2</v>
      </c>
      <c r="I184">
        <v>0.27680254500000001</v>
      </c>
    </row>
    <row r="185" spans="1:9">
      <c r="A185" t="s">
        <v>199</v>
      </c>
      <c r="B185" t="str">
        <f>VLOOKUP(A185,PW!A:C,2,0)</f>
        <v>Human papillomavirus infection</v>
      </c>
      <c r="C185" t="str">
        <f t="shared" si="2"/>
        <v>E2F1-&gt;CCNA2</v>
      </c>
      <c r="D185" t="s">
        <v>685</v>
      </c>
      <c r="E185" t="s">
        <v>684</v>
      </c>
      <c r="F185">
        <v>-0.337022875</v>
      </c>
      <c r="G185">
        <v>0.337022875</v>
      </c>
      <c r="H185">
        <v>1.5939239000000001E-2</v>
      </c>
      <c r="I185">
        <v>0.27680254500000001</v>
      </c>
    </row>
    <row r="186" spans="1:9">
      <c r="A186" t="s">
        <v>96</v>
      </c>
      <c r="B186" t="str">
        <f>VLOOKUP(A186,PW!A:C,2,0)</f>
        <v>Galactose metabolism</v>
      </c>
      <c r="C186" t="str">
        <f t="shared" si="2"/>
        <v>GALM-&gt;GLA</v>
      </c>
      <c r="D186" t="s">
        <v>650</v>
      </c>
      <c r="E186" t="s">
        <v>492</v>
      </c>
      <c r="F186">
        <v>0.27180778100000003</v>
      </c>
      <c r="G186">
        <v>0.27180778100000003</v>
      </c>
      <c r="H186">
        <v>1.5997378E-2</v>
      </c>
      <c r="I186">
        <v>0.27680254500000001</v>
      </c>
    </row>
    <row r="187" spans="1:9">
      <c r="A187" t="s">
        <v>92</v>
      </c>
      <c r="B187" t="str">
        <f>VLOOKUP(A187,PW!A:C,2,0)</f>
        <v>Glycolysis / Gluconeogenesis</v>
      </c>
      <c r="C187" t="str">
        <f t="shared" si="2"/>
        <v>ALDOA-&gt;GAPDH</v>
      </c>
      <c r="D187" t="s">
        <v>443</v>
      </c>
      <c r="E187" t="s">
        <v>544</v>
      </c>
      <c r="F187">
        <v>-0.231222234</v>
      </c>
      <c r="G187">
        <v>0.231222234</v>
      </c>
      <c r="H187">
        <v>1.6253981000000001E-2</v>
      </c>
      <c r="I187">
        <v>0.27680254500000001</v>
      </c>
    </row>
    <row r="188" spans="1:9">
      <c r="A188" t="s">
        <v>101</v>
      </c>
      <c r="B188" t="str">
        <f>VLOOKUP(A188,PW!A:C,2,0)</f>
        <v>Purine metabolism</v>
      </c>
      <c r="C188" t="str">
        <f t="shared" si="2"/>
        <v>ITPA-&gt;NME6</v>
      </c>
      <c r="D188" t="s">
        <v>312</v>
      </c>
      <c r="E188" t="s">
        <v>285</v>
      </c>
      <c r="F188">
        <v>0.178302504</v>
      </c>
      <c r="G188">
        <v>0.178302504</v>
      </c>
      <c r="H188">
        <v>1.6462912999999999E-2</v>
      </c>
      <c r="I188">
        <v>0.27680254500000001</v>
      </c>
    </row>
    <row r="189" spans="1:9">
      <c r="A189" t="s">
        <v>34</v>
      </c>
      <c r="B189" t="str">
        <f>VLOOKUP(A189,PW!A:C,2,0)</f>
        <v>RIG‑I‑like receptor signaling pathway</v>
      </c>
      <c r="C189" t="str">
        <f t="shared" si="2"/>
        <v>NFKB1-&gt;CXCL10</v>
      </c>
      <c r="D189" t="s">
        <v>272</v>
      </c>
      <c r="E189" t="s">
        <v>335</v>
      </c>
      <c r="F189">
        <v>1.460811697</v>
      </c>
      <c r="G189">
        <v>1.460811697</v>
      </c>
      <c r="H189">
        <v>1.6612279000000001E-2</v>
      </c>
      <c r="I189">
        <v>0.27680254500000001</v>
      </c>
    </row>
    <row r="190" spans="1:9">
      <c r="A190" t="s">
        <v>35</v>
      </c>
      <c r="B190" t="str">
        <f>VLOOKUP(A190,PW!A:C,2,0)</f>
        <v>Cytosolic DNA‑sensing pathway</v>
      </c>
      <c r="C190" t="str">
        <f t="shared" si="2"/>
        <v>NFKB1-&gt;CXCL10</v>
      </c>
      <c r="D190" t="s">
        <v>272</v>
      </c>
      <c r="E190" t="s">
        <v>335</v>
      </c>
      <c r="F190">
        <v>1.460811697</v>
      </c>
      <c r="G190">
        <v>1.460811697</v>
      </c>
      <c r="H190">
        <v>1.6612279000000001E-2</v>
      </c>
      <c r="I190">
        <v>0.27680254500000001</v>
      </c>
    </row>
    <row r="191" spans="1:9">
      <c r="A191" t="s">
        <v>129</v>
      </c>
      <c r="B191" t="str">
        <f>VLOOKUP(A191,PW!A:C,2,0)</f>
        <v>IL‑17 signaling pathway</v>
      </c>
      <c r="C191" t="str">
        <f t="shared" si="2"/>
        <v>NFKB1-&gt;CXCL10</v>
      </c>
      <c r="D191" t="s">
        <v>272</v>
      </c>
      <c r="E191" t="s">
        <v>335</v>
      </c>
      <c r="F191">
        <v>1.460811697</v>
      </c>
      <c r="G191">
        <v>1.460811697</v>
      </c>
      <c r="H191">
        <v>1.6612279000000001E-2</v>
      </c>
      <c r="I191">
        <v>0.27680254500000001</v>
      </c>
    </row>
    <row r="192" spans="1:9">
      <c r="A192" t="s">
        <v>228</v>
      </c>
      <c r="B192" t="str">
        <f>VLOOKUP(A192,PW!A:C,2,0)</f>
        <v>Hepatitis C</v>
      </c>
      <c r="C192" t="str">
        <f t="shared" si="2"/>
        <v>NFKB1-&gt;CXCL10</v>
      </c>
      <c r="D192" t="s">
        <v>272</v>
      </c>
      <c r="E192" t="s">
        <v>335</v>
      </c>
      <c r="F192">
        <v>1.460811697</v>
      </c>
      <c r="G192">
        <v>1.460811697</v>
      </c>
      <c r="H192">
        <v>1.6612279000000001E-2</v>
      </c>
      <c r="I192">
        <v>0.27680254500000001</v>
      </c>
    </row>
    <row r="193" spans="1:9">
      <c r="A193" t="s">
        <v>193</v>
      </c>
      <c r="B193" t="str">
        <f>VLOOKUP(A193,PW!A:C,2,0)</f>
        <v>Influenza A</v>
      </c>
      <c r="C193" t="str">
        <f t="shared" si="2"/>
        <v>NFKB1-&gt;CXCL10</v>
      </c>
      <c r="D193" t="s">
        <v>272</v>
      </c>
      <c r="E193" t="s">
        <v>335</v>
      </c>
      <c r="F193">
        <v>1.460811697</v>
      </c>
      <c r="G193">
        <v>1.460811697</v>
      </c>
      <c r="H193">
        <v>1.6612279000000001E-2</v>
      </c>
      <c r="I193">
        <v>0.27680254500000001</v>
      </c>
    </row>
    <row r="194" spans="1:9">
      <c r="A194" t="s">
        <v>101</v>
      </c>
      <c r="B194" t="str">
        <f>VLOOKUP(A194,PW!A:C,2,0)</f>
        <v>Purine metabolism</v>
      </c>
      <c r="C194" t="str">
        <f t="shared" ref="C194:C257" si="3">D194&amp;"-&gt;"&amp;E194</f>
        <v>NT5C1B-RDH14-&gt;PNP</v>
      </c>
      <c r="D194" t="s">
        <v>290</v>
      </c>
      <c r="E194" t="s">
        <v>755</v>
      </c>
      <c r="F194">
        <v>0.40956259900000003</v>
      </c>
      <c r="G194">
        <v>0.40956259900000003</v>
      </c>
      <c r="H194">
        <v>1.6655831999999999E-2</v>
      </c>
      <c r="I194">
        <v>0.27680254500000001</v>
      </c>
    </row>
    <row r="195" spans="1:9">
      <c r="A195" t="s">
        <v>127</v>
      </c>
      <c r="B195" t="str">
        <f>VLOOKUP(A195,PW!A:C,2,0)</f>
        <v>Nicotinate and nicotinamide metabolism</v>
      </c>
      <c r="C195" t="str">
        <f t="shared" si="3"/>
        <v>NT5C1B-RDH14-&gt;PNP</v>
      </c>
      <c r="D195" t="s">
        <v>290</v>
      </c>
      <c r="E195" t="s">
        <v>755</v>
      </c>
      <c r="F195">
        <v>0.40956259900000003</v>
      </c>
      <c r="G195">
        <v>0.40956259900000003</v>
      </c>
      <c r="H195">
        <v>1.6655831999999999E-2</v>
      </c>
      <c r="I195">
        <v>0.27680254500000001</v>
      </c>
    </row>
    <row r="196" spans="1:9">
      <c r="A196" t="s">
        <v>174</v>
      </c>
      <c r="B196" t="str">
        <f>VLOOKUP(A196,PW!A:C,2,0)</f>
        <v>Pantothenate and CoA biosynthesis</v>
      </c>
      <c r="C196" t="str">
        <f t="shared" si="3"/>
        <v>PANK1-&gt;COASY</v>
      </c>
      <c r="D196" t="s">
        <v>756</v>
      </c>
      <c r="E196" t="s">
        <v>669</v>
      </c>
      <c r="F196">
        <v>0.130936577</v>
      </c>
      <c r="G196">
        <v>0.130936577</v>
      </c>
      <c r="H196">
        <v>1.6900361999999999E-2</v>
      </c>
      <c r="I196">
        <v>0.27680254500000001</v>
      </c>
    </row>
    <row r="197" spans="1:9">
      <c r="A197" t="s">
        <v>111</v>
      </c>
      <c r="B197" t="str">
        <f>VLOOKUP(A197,PW!A:C,2,0)</f>
        <v>Lysine degradation</v>
      </c>
      <c r="C197" t="str">
        <f t="shared" si="3"/>
        <v>AASS-&gt;ALDH7A1</v>
      </c>
      <c r="D197" t="s">
        <v>730</v>
      </c>
      <c r="E197" t="s">
        <v>757</v>
      </c>
      <c r="F197">
        <v>-0.61722737699999997</v>
      </c>
      <c r="G197">
        <v>0.61722737699999997</v>
      </c>
      <c r="H197">
        <v>1.6908093999999999E-2</v>
      </c>
      <c r="I197">
        <v>0.27680254500000001</v>
      </c>
    </row>
    <row r="198" spans="1:9">
      <c r="A198" t="s">
        <v>235</v>
      </c>
      <c r="B198" t="str">
        <f>VLOOKUP(A198,PW!A:C,2,0)</f>
        <v>Glycosylphosphatidylinositol (GPI)‑anchor biosynthesis</v>
      </c>
      <c r="C198" t="str">
        <f t="shared" si="3"/>
        <v>PIGL-&gt;PIGW</v>
      </c>
      <c r="D198" t="s">
        <v>758</v>
      </c>
      <c r="E198" t="s">
        <v>759</v>
      </c>
      <c r="F198">
        <v>-0.24588978</v>
      </c>
      <c r="G198">
        <v>0.24588978</v>
      </c>
      <c r="H198">
        <v>1.7031465999999999E-2</v>
      </c>
      <c r="I198">
        <v>0.27680254500000001</v>
      </c>
    </row>
    <row r="199" spans="1:9">
      <c r="A199" t="s">
        <v>102</v>
      </c>
      <c r="B199" t="str">
        <f>VLOOKUP(A199,PW!A:C,2,0)</f>
        <v>Pyrimidine metabolism</v>
      </c>
      <c r="C199" t="str">
        <f t="shared" si="3"/>
        <v>CMPK2-&gt;DCK</v>
      </c>
      <c r="D199" t="s">
        <v>631</v>
      </c>
      <c r="E199" t="s">
        <v>760</v>
      </c>
      <c r="F199">
        <v>-0.177082765</v>
      </c>
      <c r="G199">
        <v>0.177082765</v>
      </c>
      <c r="H199">
        <v>1.7211898E-2</v>
      </c>
      <c r="I199">
        <v>0.27680254500000001</v>
      </c>
    </row>
    <row r="200" spans="1:9">
      <c r="A200" t="s">
        <v>169</v>
      </c>
      <c r="B200" t="str">
        <f>VLOOKUP(A200,PW!A:C,2,0)</f>
        <v>Pathways in cancer</v>
      </c>
      <c r="C200" t="str">
        <f t="shared" si="3"/>
        <v>EPAS1-&gt;TGFB1</v>
      </c>
      <c r="D200" t="s">
        <v>598</v>
      </c>
      <c r="E200" t="s">
        <v>431</v>
      </c>
      <c r="F200">
        <v>-0.18007273800000001</v>
      </c>
      <c r="G200">
        <v>0.18007273800000001</v>
      </c>
      <c r="H200">
        <v>1.7262830999999999E-2</v>
      </c>
      <c r="I200">
        <v>0.27680254500000001</v>
      </c>
    </row>
    <row r="201" spans="1:9">
      <c r="A201" t="s">
        <v>205</v>
      </c>
      <c r="B201" t="str">
        <f>VLOOKUP(A201,PW!A:C,2,0)</f>
        <v>Renal cell carcinoma</v>
      </c>
      <c r="C201" t="str">
        <f t="shared" si="3"/>
        <v>EPAS1-&gt;TGFB1</v>
      </c>
      <c r="D201" t="s">
        <v>598</v>
      </c>
      <c r="E201" t="s">
        <v>431</v>
      </c>
      <c r="F201">
        <v>-0.18007273800000001</v>
      </c>
      <c r="G201">
        <v>0.18007273800000001</v>
      </c>
      <c r="H201">
        <v>1.7262830999999999E-2</v>
      </c>
      <c r="I201">
        <v>0.27680254500000001</v>
      </c>
    </row>
    <row r="202" spans="1:9">
      <c r="A202" t="s">
        <v>99</v>
      </c>
      <c r="B202" t="str">
        <f>VLOOKUP(A202,PW!A:C,2,0)</f>
        <v>Fatty acid degradation</v>
      </c>
      <c r="C202" t="str">
        <f t="shared" si="3"/>
        <v>ECHS1-&gt;ACOX1</v>
      </c>
      <c r="D202" t="s">
        <v>393</v>
      </c>
      <c r="E202" t="s">
        <v>552</v>
      </c>
      <c r="F202">
        <v>0.34328270999999999</v>
      </c>
      <c r="G202">
        <v>0.34328270999999999</v>
      </c>
      <c r="H202">
        <v>1.7317994E-2</v>
      </c>
      <c r="I202">
        <v>0.27680254500000001</v>
      </c>
    </row>
    <row r="203" spans="1:9">
      <c r="A203" t="s">
        <v>121</v>
      </c>
      <c r="B203" t="str">
        <f>VLOOKUP(A203,PW!A:C,2,0)</f>
        <v>β-Alanine metabolism KEGG</v>
      </c>
      <c r="C203" t="str">
        <f t="shared" si="3"/>
        <v>ECHS1-&gt;ACOX1</v>
      </c>
      <c r="D203" t="s">
        <v>393</v>
      </c>
      <c r="E203" t="s">
        <v>552</v>
      </c>
      <c r="F203">
        <v>0.34328270999999999</v>
      </c>
      <c r="G203">
        <v>0.34328270999999999</v>
      </c>
      <c r="H203">
        <v>1.7317994E-2</v>
      </c>
      <c r="I203">
        <v>0.27680254500000001</v>
      </c>
    </row>
    <row r="204" spans="1:9">
      <c r="A204" t="s">
        <v>166</v>
      </c>
      <c r="B204" t="str">
        <f>VLOOKUP(A204,PW!A:C,2,0)</f>
        <v>Propanoate metabolism</v>
      </c>
      <c r="C204" t="str">
        <f t="shared" si="3"/>
        <v>ECHS1-&gt;ACOX1</v>
      </c>
      <c r="D204" t="s">
        <v>393</v>
      </c>
      <c r="E204" t="s">
        <v>552</v>
      </c>
      <c r="F204">
        <v>0.34328270999999999</v>
      </c>
      <c r="G204">
        <v>0.34328270999999999</v>
      </c>
      <c r="H204">
        <v>1.7317994E-2</v>
      </c>
      <c r="I204">
        <v>0.27680254500000001</v>
      </c>
    </row>
    <row r="205" spans="1:9">
      <c r="A205" t="s">
        <v>104</v>
      </c>
      <c r="B205" t="str">
        <f>VLOOKUP(A205,PW!A:C,2,0)</f>
        <v>Alanine, aspartate and glutamate metabolism</v>
      </c>
      <c r="C205" t="str">
        <f t="shared" si="3"/>
        <v>CAD-&gt;GLS2</v>
      </c>
      <c r="D205" t="s">
        <v>325</v>
      </c>
      <c r="E205" t="s">
        <v>326</v>
      </c>
      <c r="F205">
        <v>0.84160610700000005</v>
      </c>
      <c r="G205">
        <v>0.84160610700000005</v>
      </c>
      <c r="H205">
        <v>1.7403108E-2</v>
      </c>
      <c r="I205">
        <v>0.27680254500000001</v>
      </c>
    </row>
    <row r="206" spans="1:9">
      <c r="A206" t="s">
        <v>127</v>
      </c>
      <c r="B206" t="str">
        <f>VLOOKUP(A206,PW!A:C,2,0)</f>
        <v>Nicotinate and nicotinamide metabolism</v>
      </c>
      <c r="C206" t="str">
        <f t="shared" si="3"/>
        <v>PNP-&gt;SIRT2</v>
      </c>
      <c r="D206" t="s">
        <v>755</v>
      </c>
      <c r="E206" t="s">
        <v>263</v>
      </c>
      <c r="F206">
        <v>-8.7845652999999996E-2</v>
      </c>
      <c r="G206">
        <v>8.7845652999999996E-2</v>
      </c>
      <c r="H206">
        <v>1.743977E-2</v>
      </c>
      <c r="I206">
        <v>0.27680254500000001</v>
      </c>
    </row>
    <row r="207" spans="1:9">
      <c r="A207" t="s">
        <v>102</v>
      </c>
      <c r="B207" t="str">
        <f>VLOOKUP(A207,PW!A:C,2,0)</f>
        <v>Pyrimidine metabolism</v>
      </c>
      <c r="C207" t="str">
        <f t="shared" si="3"/>
        <v>NT5C3B-&gt;CDA</v>
      </c>
      <c r="D207" t="s">
        <v>761</v>
      </c>
      <c r="E207" t="s">
        <v>390</v>
      </c>
      <c r="F207">
        <v>0.25898743800000001</v>
      </c>
      <c r="G207">
        <v>0.25898743800000001</v>
      </c>
      <c r="H207">
        <v>1.7469768E-2</v>
      </c>
      <c r="I207">
        <v>0.27680254500000001</v>
      </c>
    </row>
    <row r="208" spans="1:9">
      <c r="A208" t="s">
        <v>170</v>
      </c>
      <c r="B208" t="str">
        <f>VLOOKUP(A208,PW!A:C,2,0)</f>
        <v>One carbon pool by folate</v>
      </c>
      <c r="C208" t="str">
        <f t="shared" si="3"/>
        <v>MTHFD2-&gt;SHMT1</v>
      </c>
      <c r="D208" t="s">
        <v>424</v>
      </c>
      <c r="E208" t="s">
        <v>463</v>
      </c>
      <c r="F208">
        <v>0.41241303099999999</v>
      </c>
      <c r="G208">
        <v>0.41241303099999999</v>
      </c>
      <c r="H208">
        <v>1.7671836999999999E-2</v>
      </c>
      <c r="I208">
        <v>0.27760357099999999</v>
      </c>
    </row>
    <row r="209" spans="1:9">
      <c r="A209" t="s">
        <v>119</v>
      </c>
      <c r="B209" t="str">
        <f>VLOOKUP(A209,PW!A:C,2,0)</f>
        <v>Tryptophan metabolism genome.jp</v>
      </c>
      <c r="C209" t="str">
        <f t="shared" si="3"/>
        <v>KMO-&gt;KYNU</v>
      </c>
      <c r="D209" t="s">
        <v>569</v>
      </c>
      <c r="E209" t="s">
        <v>529</v>
      </c>
      <c r="F209">
        <v>-0.30822071099999998</v>
      </c>
      <c r="G209">
        <v>0.30822071099999998</v>
      </c>
      <c r="H209">
        <v>1.7770813999999999E-2</v>
      </c>
      <c r="I209">
        <v>0.27760357099999999</v>
      </c>
    </row>
    <row r="210" spans="1:9">
      <c r="A210" t="s">
        <v>197</v>
      </c>
      <c r="B210" t="str">
        <f>VLOOKUP(A210,PW!A:C,2,0)</f>
        <v>Central carbon metabolism in cancer – Homo sapiens (human) KEGG</v>
      </c>
      <c r="C210" t="str">
        <f t="shared" si="3"/>
        <v>MYC-&gt;PKM</v>
      </c>
      <c r="D210" t="s">
        <v>509</v>
      </c>
      <c r="E210" t="s">
        <v>540</v>
      </c>
      <c r="F210">
        <v>0.26536663399999999</v>
      </c>
      <c r="G210">
        <v>0.26536663399999999</v>
      </c>
      <c r="H210">
        <v>1.7775473999999999E-2</v>
      </c>
      <c r="I210">
        <v>0.27760357099999999</v>
      </c>
    </row>
    <row r="211" spans="1:9">
      <c r="A211" t="s">
        <v>147</v>
      </c>
      <c r="B211" t="str">
        <f>VLOOKUP(A211,PW!A:C,2,0)</f>
        <v>AGE‑RAGE signaling pathway in diabetic complications genome.jp</v>
      </c>
      <c r="C211" t="str">
        <f t="shared" si="3"/>
        <v>NFKB1-&gt;EDN1</v>
      </c>
      <c r="D211" t="s">
        <v>272</v>
      </c>
      <c r="E211" t="s">
        <v>450</v>
      </c>
      <c r="F211">
        <v>-0.88982486400000005</v>
      </c>
      <c r="G211">
        <v>0.88982486400000005</v>
      </c>
      <c r="H211">
        <v>1.8208662E-2</v>
      </c>
      <c r="I211">
        <v>0.28003235799999998</v>
      </c>
    </row>
    <row r="212" spans="1:9">
      <c r="A212" t="s">
        <v>41</v>
      </c>
      <c r="B212" t="str">
        <f>VLOOKUP(A212,PW!A:C,2,0)</f>
        <v>Fluid shear stress and atherosclerosis – Homo sapiens (human) KEGG</v>
      </c>
      <c r="C212" t="str">
        <f t="shared" si="3"/>
        <v>NFKB1-&gt;EDN1</v>
      </c>
      <c r="D212" t="s">
        <v>272</v>
      </c>
      <c r="E212" t="s">
        <v>450</v>
      </c>
      <c r="F212">
        <v>-0.88982486400000005</v>
      </c>
      <c r="G212">
        <v>0.88982486400000005</v>
      </c>
      <c r="H212">
        <v>1.8208662E-2</v>
      </c>
      <c r="I212">
        <v>0.28003235799999998</v>
      </c>
    </row>
    <row r="213" spans="1:9">
      <c r="A213" t="s">
        <v>98</v>
      </c>
      <c r="B213" t="str">
        <f>VLOOKUP(A213,PW!A:C,2,0)</f>
        <v>Fatty acid elongation</v>
      </c>
      <c r="C213" t="str">
        <f t="shared" si="3"/>
        <v>ECHS1-&gt;HADH</v>
      </c>
      <c r="D213" t="s">
        <v>393</v>
      </c>
      <c r="E213" t="s">
        <v>570</v>
      </c>
      <c r="F213">
        <v>-0.231429151</v>
      </c>
      <c r="G213">
        <v>0.231429151</v>
      </c>
      <c r="H213">
        <v>1.8227243000000001E-2</v>
      </c>
      <c r="I213">
        <v>0.28003235799999998</v>
      </c>
    </row>
    <row r="214" spans="1:9">
      <c r="A214" t="s">
        <v>158</v>
      </c>
      <c r="B214" t="str">
        <f>VLOOKUP(A214,PW!A:C,2,0)</f>
        <v>Glycosphingolipid biosynthesis – lacto &amp; neolacto series genome.jp</v>
      </c>
      <c r="C214" t="str">
        <f t="shared" si="3"/>
        <v>B4GALT2-&gt;B3GNT5</v>
      </c>
      <c r="D214" t="s">
        <v>612</v>
      </c>
      <c r="E214" t="s">
        <v>613</v>
      </c>
      <c r="F214">
        <v>0.27206675200000002</v>
      </c>
      <c r="G214">
        <v>0.27206675200000002</v>
      </c>
      <c r="H214">
        <v>1.8305741E-2</v>
      </c>
      <c r="I214">
        <v>0.28003235799999998</v>
      </c>
    </row>
    <row r="215" spans="1:9">
      <c r="A215" t="s">
        <v>149</v>
      </c>
      <c r="B215" t="str">
        <f>VLOOKUP(A215,PW!A:C,2,0)</f>
        <v>Glycerophospholipid metabolism KEGG</v>
      </c>
      <c r="C215" t="str">
        <f t="shared" si="3"/>
        <v>PLD4-&gt;LPCAT3</v>
      </c>
      <c r="D215" t="s">
        <v>301</v>
      </c>
      <c r="E215" t="s">
        <v>300</v>
      </c>
      <c r="F215">
        <v>9.7036794999999995E-2</v>
      </c>
      <c r="G215">
        <v>9.7036794999999995E-2</v>
      </c>
      <c r="H215">
        <v>1.8359964999999999E-2</v>
      </c>
      <c r="I215">
        <v>0.28003235799999998</v>
      </c>
    </row>
    <row r="216" spans="1:9">
      <c r="A216" t="s">
        <v>144</v>
      </c>
      <c r="B216" t="str">
        <f>VLOOKUP(A216,PW!A:C,2,0)</f>
        <v>Biosynthesis of various nucleotide sugars KEGG</v>
      </c>
      <c r="C216" t="str">
        <f t="shared" si="3"/>
        <v>CMAS-&gt;NANS</v>
      </c>
      <c r="D216" t="s">
        <v>762</v>
      </c>
      <c r="E216" t="s">
        <v>420</v>
      </c>
      <c r="F216">
        <v>0.183063589</v>
      </c>
      <c r="G216">
        <v>0.183063589</v>
      </c>
      <c r="H216">
        <v>1.8524094000000001E-2</v>
      </c>
      <c r="I216">
        <v>0.28037501799999998</v>
      </c>
    </row>
    <row r="217" spans="1:9">
      <c r="A217" t="s">
        <v>31</v>
      </c>
      <c r="B217" t="str">
        <f>VLOOKUP(A217,PW!A:C,2,0)</f>
        <v>Growth hormone synthesis, secretion and action KEGG</v>
      </c>
      <c r="C217" t="str">
        <f t="shared" si="3"/>
        <v>GSK3B-&gt;IGFBP3</v>
      </c>
      <c r="D217" t="s">
        <v>719</v>
      </c>
      <c r="E217" t="s">
        <v>763</v>
      </c>
      <c r="F217">
        <v>1.261591811</v>
      </c>
      <c r="G217">
        <v>1.261591811</v>
      </c>
      <c r="H217">
        <v>1.8554228999999998E-2</v>
      </c>
      <c r="I217">
        <v>0.28037501799999998</v>
      </c>
    </row>
    <row r="218" spans="1:9">
      <c r="A218" t="s">
        <v>138</v>
      </c>
      <c r="B218" t="str">
        <f>VLOOKUP(A218,PW!A:C,2,0)</f>
        <v>Amino sugar and nucleotide sugar metabolism KEGG</v>
      </c>
      <c r="C218" t="str">
        <f t="shared" si="3"/>
        <v>GNPDA1-&gt;GPI</v>
      </c>
      <c r="D218" t="s">
        <v>526</v>
      </c>
      <c r="E218" t="s">
        <v>527</v>
      </c>
      <c r="F218">
        <v>-0.32638384500000001</v>
      </c>
      <c r="G218">
        <v>0.32638384500000001</v>
      </c>
      <c r="H218">
        <v>1.8830085E-2</v>
      </c>
      <c r="I218">
        <v>0.28323224699999999</v>
      </c>
    </row>
    <row r="219" spans="1:9">
      <c r="A219" t="s">
        <v>148</v>
      </c>
      <c r="B219" t="str">
        <f>VLOOKUP(A219,PW!A:C,2,0)</f>
        <v>Inositol phosphate metabolism genome.jp</v>
      </c>
      <c r="C219" t="str">
        <f t="shared" si="3"/>
        <v>PTEN-&gt;INPP5B</v>
      </c>
      <c r="D219" t="s">
        <v>477</v>
      </c>
      <c r="E219" t="s">
        <v>340</v>
      </c>
      <c r="F219">
        <v>-0.16914786800000001</v>
      </c>
      <c r="G219">
        <v>0.16914786800000001</v>
      </c>
      <c r="H219">
        <v>1.9094567999999999E-2</v>
      </c>
      <c r="I219">
        <v>0.28534754800000001</v>
      </c>
    </row>
    <row r="220" spans="1:9">
      <c r="A220" t="s">
        <v>245</v>
      </c>
      <c r="B220" t="str">
        <f>VLOOKUP(A220,PW!A:C,2,0)</f>
        <v>Fc epsilon RI signaling pathway</v>
      </c>
      <c r="C220" t="str">
        <f t="shared" si="3"/>
        <v>P3R3URF-PIK3R3-&gt;BTK</v>
      </c>
      <c r="D220" t="s">
        <v>627</v>
      </c>
      <c r="E220" t="s">
        <v>764</v>
      </c>
      <c r="F220">
        <v>0.120172019</v>
      </c>
      <c r="G220">
        <v>0.120172019</v>
      </c>
      <c r="H220">
        <v>1.9180414E-2</v>
      </c>
      <c r="I220">
        <v>0.28534754800000001</v>
      </c>
    </row>
    <row r="221" spans="1:9">
      <c r="A221" t="s">
        <v>149</v>
      </c>
      <c r="B221" t="str">
        <f>VLOOKUP(A221,PW!A:C,2,0)</f>
        <v>Glycerophospholipid metabolism KEGG</v>
      </c>
      <c r="C221" t="str">
        <f t="shared" si="3"/>
        <v>PLD4-&gt;PLD4</v>
      </c>
      <c r="D221" t="s">
        <v>301</v>
      </c>
      <c r="E221" t="s">
        <v>301</v>
      </c>
      <c r="F221" s="1">
        <v>1.3700000000000001E-16</v>
      </c>
      <c r="G221" s="1">
        <v>1.3744699999999999E-16</v>
      </c>
      <c r="H221">
        <v>1.9232984000000002E-2</v>
      </c>
      <c r="I221">
        <v>0.28534754800000001</v>
      </c>
    </row>
    <row r="222" spans="1:9">
      <c r="A222" t="s">
        <v>226</v>
      </c>
      <c r="B222" t="str">
        <f>VLOOKUP(A222,PW!A:C,2,0)</f>
        <v>Arginine biosynthesis</v>
      </c>
      <c r="C222" t="str">
        <f t="shared" si="3"/>
        <v>GLUL-&gt;GLUD1</v>
      </c>
      <c r="D222" t="s">
        <v>491</v>
      </c>
      <c r="E222" t="s">
        <v>765</v>
      </c>
      <c r="F222">
        <v>0.13829385299999999</v>
      </c>
      <c r="G222">
        <v>0.13829385299999999</v>
      </c>
      <c r="H222">
        <v>1.9755755999999999E-2</v>
      </c>
      <c r="I222">
        <v>0.29045016200000001</v>
      </c>
    </row>
    <row r="223" spans="1:9">
      <c r="A223" t="s">
        <v>104</v>
      </c>
      <c r="B223" t="str">
        <f>VLOOKUP(A223,PW!A:C,2,0)</f>
        <v>Alanine, aspartate and glutamate metabolism</v>
      </c>
      <c r="C223" t="str">
        <f t="shared" si="3"/>
        <v>GLUL-&gt;GLUD1</v>
      </c>
      <c r="D223" t="s">
        <v>491</v>
      </c>
      <c r="E223" t="s">
        <v>765</v>
      </c>
      <c r="F223">
        <v>0.13829385299999999</v>
      </c>
      <c r="G223">
        <v>0.13829385299999999</v>
      </c>
      <c r="H223">
        <v>1.9755755999999999E-2</v>
      </c>
      <c r="I223">
        <v>0.29045016200000001</v>
      </c>
    </row>
    <row r="224" spans="1:9">
      <c r="A224" t="s">
        <v>244</v>
      </c>
      <c r="B224" t="str">
        <f>VLOOKUP(A224,PW!A:C,2,0)</f>
        <v>Herpes simplex virus 1 infection</v>
      </c>
      <c r="C224" t="str">
        <f t="shared" si="3"/>
        <v>STAT1-&gt;OAS1</v>
      </c>
      <c r="D224" t="s">
        <v>308</v>
      </c>
      <c r="E224" t="s">
        <v>766</v>
      </c>
      <c r="F224">
        <v>0.37497959199999997</v>
      </c>
      <c r="G224">
        <v>0.37497959199999997</v>
      </c>
      <c r="H224">
        <v>1.9843868000000001E-2</v>
      </c>
      <c r="I224">
        <v>0.29045016200000001</v>
      </c>
    </row>
    <row r="225" spans="1:9">
      <c r="A225" t="s">
        <v>151</v>
      </c>
      <c r="B225" t="str">
        <f>VLOOKUP(A225,PW!A:C,2,0)</f>
        <v>Ether lipid metabolism KEGG</v>
      </c>
      <c r="C225" t="str">
        <f t="shared" si="3"/>
        <v>PEDS1-&gt;LPCAT4</v>
      </c>
      <c r="D225" t="s">
        <v>767</v>
      </c>
      <c r="E225" t="s">
        <v>768</v>
      </c>
      <c r="F225">
        <v>0.31621853500000002</v>
      </c>
      <c r="G225">
        <v>0.31621853500000002</v>
      </c>
      <c r="H225">
        <v>1.9966418E-2</v>
      </c>
      <c r="I225">
        <v>0.29093922900000002</v>
      </c>
    </row>
    <row r="226" spans="1:9">
      <c r="A226" t="s">
        <v>231</v>
      </c>
      <c r="B226" t="str">
        <f>VLOOKUP(A226,PW!A:C,2,0)</f>
        <v>AMPK signaling pathway</v>
      </c>
      <c r="C226" t="str">
        <f t="shared" si="3"/>
        <v>SREBF1-&gt;SCD</v>
      </c>
      <c r="D226" t="s">
        <v>769</v>
      </c>
      <c r="E226" t="s">
        <v>770</v>
      </c>
      <c r="F226">
        <v>-0.65761934200000005</v>
      </c>
      <c r="G226">
        <v>0.65761934200000005</v>
      </c>
      <c r="H226">
        <v>2.0215205E-2</v>
      </c>
      <c r="I226">
        <v>0.29181596100000001</v>
      </c>
    </row>
    <row r="227" spans="1:9">
      <c r="A227" t="s">
        <v>110</v>
      </c>
      <c r="B227" t="str">
        <f>VLOOKUP(A227,PW!A:C,2,0)</f>
        <v>Alcoholic liver disease KEGG</v>
      </c>
      <c r="C227" t="str">
        <f t="shared" si="3"/>
        <v>SREBF1-&gt;SCD</v>
      </c>
      <c r="D227" t="s">
        <v>769</v>
      </c>
      <c r="E227" t="s">
        <v>770</v>
      </c>
      <c r="F227">
        <v>-0.65761934200000005</v>
      </c>
      <c r="G227">
        <v>0.65761934200000005</v>
      </c>
      <c r="H227">
        <v>2.0215205E-2</v>
      </c>
      <c r="I227">
        <v>0.29181596100000001</v>
      </c>
    </row>
    <row r="228" spans="1:9">
      <c r="A228" t="s">
        <v>158</v>
      </c>
      <c r="B228" t="str">
        <f>VLOOKUP(A228,PW!A:C,2,0)</f>
        <v>Glycosphingolipid biosynthesis – lacto &amp; neolacto series genome.jp</v>
      </c>
      <c r="C228" t="str">
        <f t="shared" si="3"/>
        <v>B4GALT3-&gt;ST3GAL6</v>
      </c>
      <c r="D228" t="s">
        <v>471</v>
      </c>
      <c r="E228" t="s">
        <v>771</v>
      </c>
      <c r="F228">
        <v>-0.18510415599999999</v>
      </c>
      <c r="G228">
        <v>0.18510415599999999</v>
      </c>
      <c r="H228">
        <v>2.0294798999999999E-2</v>
      </c>
      <c r="I228">
        <v>0.29181596100000001</v>
      </c>
    </row>
    <row r="229" spans="1:9">
      <c r="A229" t="s">
        <v>109</v>
      </c>
      <c r="B229" t="str">
        <f>VLOOKUP(A229,PW!A:C,2,0)</f>
        <v>Valine, leucine and isoleucine degradation</v>
      </c>
      <c r="C229" t="str">
        <f t="shared" si="3"/>
        <v>ECHS1-&gt;IVD</v>
      </c>
      <c r="D229" t="s">
        <v>393</v>
      </c>
      <c r="E229" t="s">
        <v>571</v>
      </c>
      <c r="F229">
        <v>-0.242155441</v>
      </c>
      <c r="G229">
        <v>0.242155441</v>
      </c>
      <c r="H229">
        <v>2.0575406000000001E-2</v>
      </c>
      <c r="I229">
        <v>0.294553175</v>
      </c>
    </row>
    <row r="230" spans="1:9">
      <c r="A230" t="s">
        <v>94</v>
      </c>
      <c r="B230" t="str">
        <f>VLOOKUP(A230,PW!A:C,2,0)</f>
        <v>Pentose phosphate pathway</v>
      </c>
      <c r="C230" t="str">
        <f t="shared" si="3"/>
        <v>RPE-&gt;PGD</v>
      </c>
      <c r="D230" t="s">
        <v>772</v>
      </c>
      <c r="E230" t="s">
        <v>397</v>
      </c>
      <c r="F230">
        <v>0.561746627</v>
      </c>
      <c r="G230">
        <v>0.561746627</v>
      </c>
      <c r="H230">
        <v>2.0714511000000001E-2</v>
      </c>
      <c r="I230">
        <v>0.29511029100000002</v>
      </c>
    </row>
    <row r="231" spans="1:9">
      <c r="A231" t="s">
        <v>12</v>
      </c>
      <c r="B231" t="str">
        <f>VLOOKUP(A231,PW!A:C,2,0)</f>
        <v>Apelin signaling pathway</v>
      </c>
      <c r="C231" t="str">
        <f t="shared" si="3"/>
        <v>PRKAG2-&gt;PPARGC1A</v>
      </c>
      <c r="D231" t="s">
        <v>261</v>
      </c>
      <c r="E231" t="s">
        <v>262</v>
      </c>
      <c r="F231">
        <v>-1.7837626719999999</v>
      </c>
      <c r="G231">
        <v>1.7837626719999999</v>
      </c>
      <c r="H231">
        <v>2.0842506E-2</v>
      </c>
      <c r="I231">
        <v>0.29511029100000002</v>
      </c>
    </row>
    <row r="232" spans="1:9">
      <c r="A232" t="s">
        <v>103</v>
      </c>
      <c r="B232" t="str">
        <f>VLOOKUP(A232,PW!A:C,2,0)</f>
        <v>Folate biosynthesis</v>
      </c>
      <c r="C232" t="str">
        <f t="shared" si="3"/>
        <v>GPHN-&gt;GPHN</v>
      </c>
      <c r="D232" t="s">
        <v>773</v>
      </c>
      <c r="E232" t="s">
        <v>773</v>
      </c>
      <c r="F232" s="1">
        <v>1.38E-16</v>
      </c>
      <c r="G232" s="1">
        <v>1.3750699999999999E-16</v>
      </c>
      <c r="H232">
        <v>2.1079601E-2</v>
      </c>
      <c r="I232">
        <v>0.29511029100000002</v>
      </c>
    </row>
    <row r="233" spans="1:9">
      <c r="A233" t="s">
        <v>156</v>
      </c>
      <c r="B233" t="str">
        <f>VLOOKUP(A233,PW!A:C,2,0)</f>
        <v>Sphingolipid metabolism genome.jp</v>
      </c>
      <c r="C233" t="str">
        <f t="shared" si="3"/>
        <v>ASAH1-&gt;SPHK2</v>
      </c>
      <c r="D233" t="s">
        <v>774</v>
      </c>
      <c r="E233" t="s">
        <v>775</v>
      </c>
      <c r="F233">
        <v>-0.26703022799999998</v>
      </c>
      <c r="G233">
        <v>0.26703022799999998</v>
      </c>
      <c r="H233">
        <v>2.1283854000000001E-2</v>
      </c>
      <c r="I233">
        <v>0.29511029100000002</v>
      </c>
    </row>
    <row r="234" spans="1:9">
      <c r="A234" t="s">
        <v>228</v>
      </c>
      <c r="B234" t="str">
        <f>VLOOKUP(A234,PW!A:C,2,0)</f>
        <v>Hepatitis C</v>
      </c>
      <c r="C234" t="str">
        <f t="shared" si="3"/>
        <v>IRF9-&gt;OAS1</v>
      </c>
      <c r="D234" t="s">
        <v>489</v>
      </c>
      <c r="E234" t="s">
        <v>766</v>
      </c>
      <c r="F234">
        <v>0.61365235699999998</v>
      </c>
      <c r="G234">
        <v>0.61365235699999998</v>
      </c>
      <c r="H234">
        <v>2.1337630999999999E-2</v>
      </c>
      <c r="I234">
        <v>0.29511029100000002</v>
      </c>
    </row>
    <row r="235" spans="1:9">
      <c r="A235" t="s">
        <v>232</v>
      </c>
      <c r="B235" t="str">
        <f>VLOOKUP(A235,PW!A:C,2,0)</f>
        <v>Measles</v>
      </c>
      <c r="C235" t="str">
        <f t="shared" si="3"/>
        <v>IRF9-&gt;OAS1</v>
      </c>
      <c r="D235" t="s">
        <v>489</v>
      </c>
      <c r="E235" t="s">
        <v>766</v>
      </c>
      <c r="F235">
        <v>0.61365235699999998</v>
      </c>
      <c r="G235">
        <v>0.61365235699999998</v>
      </c>
      <c r="H235">
        <v>2.1337630999999999E-2</v>
      </c>
      <c r="I235">
        <v>0.29511029100000002</v>
      </c>
    </row>
    <row r="236" spans="1:9">
      <c r="A236" t="s">
        <v>193</v>
      </c>
      <c r="B236" t="str">
        <f>VLOOKUP(A236,PW!A:C,2,0)</f>
        <v>Influenza A</v>
      </c>
      <c r="C236" t="str">
        <f t="shared" si="3"/>
        <v>IRF9-&gt;OAS1</v>
      </c>
      <c r="D236" t="s">
        <v>489</v>
      </c>
      <c r="E236" t="s">
        <v>766</v>
      </c>
      <c r="F236">
        <v>0.61365235699999998</v>
      </c>
      <c r="G236">
        <v>0.61365235699999998</v>
      </c>
      <c r="H236">
        <v>2.1337630999999999E-2</v>
      </c>
      <c r="I236">
        <v>0.29511029100000002</v>
      </c>
    </row>
    <row r="237" spans="1:9">
      <c r="A237" t="s">
        <v>233</v>
      </c>
      <c r="B237" t="str">
        <f>VLOOKUP(A237,PW!A:C,2,0)</f>
        <v>Coronavirus disease – COVID‑19</v>
      </c>
      <c r="C237" t="str">
        <f t="shared" si="3"/>
        <v>IRF9-&gt;OAS1</v>
      </c>
      <c r="D237" t="s">
        <v>489</v>
      </c>
      <c r="E237" t="s">
        <v>766</v>
      </c>
      <c r="F237">
        <v>0.61365235699999998</v>
      </c>
      <c r="G237">
        <v>0.61365235699999998</v>
      </c>
      <c r="H237">
        <v>2.1337630999999999E-2</v>
      </c>
      <c r="I237">
        <v>0.29511029100000002</v>
      </c>
    </row>
    <row r="238" spans="1:9">
      <c r="A238" t="s">
        <v>183</v>
      </c>
      <c r="B238" t="str">
        <f>VLOOKUP(A238,PW!A:C,2,0)</f>
        <v>Drug metabolism – other enzymes</v>
      </c>
      <c r="C238" t="str">
        <f t="shared" si="3"/>
        <v>CMPK1-&gt;UMPS</v>
      </c>
      <c r="D238" t="s">
        <v>457</v>
      </c>
      <c r="E238" t="s">
        <v>454</v>
      </c>
      <c r="F238">
        <v>-0.38004855100000001</v>
      </c>
      <c r="G238">
        <v>0.38004855100000001</v>
      </c>
      <c r="H238">
        <v>2.1775454999999999E-2</v>
      </c>
      <c r="I238">
        <v>0.29989487999999997</v>
      </c>
    </row>
    <row r="239" spans="1:9">
      <c r="A239" t="s">
        <v>228</v>
      </c>
      <c r="B239" t="str">
        <f>VLOOKUP(A239,PW!A:C,2,0)</f>
        <v>Hepatitis C</v>
      </c>
      <c r="C239" t="str">
        <f t="shared" si="3"/>
        <v>IRF9-&gt;EIF2AK1</v>
      </c>
      <c r="D239" t="s">
        <v>489</v>
      </c>
      <c r="E239" t="s">
        <v>776</v>
      </c>
      <c r="F239">
        <v>-0.62649950799999998</v>
      </c>
      <c r="G239">
        <v>0.62649950799999998</v>
      </c>
      <c r="H239">
        <v>2.2098512000000001E-2</v>
      </c>
      <c r="I239">
        <v>0.30179725699999999</v>
      </c>
    </row>
    <row r="240" spans="1:9">
      <c r="A240" t="s">
        <v>232</v>
      </c>
      <c r="B240" t="str">
        <f>VLOOKUP(A240,PW!A:C,2,0)</f>
        <v>Measles</v>
      </c>
      <c r="C240" t="str">
        <f t="shared" si="3"/>
        <v>IRF9-&gt;EIF2AK1</v>
      </c>
      <c r="D240" t="s">
        <v>489</v>
      </c>
      <c r="E240" t="s">
        <v>776</v>
      </c>
      <c r="F240">
        <v>-0.62649950799999998</v>
      </c>
      <c r="G240">
        <v>0.62649950799999998</v>
      </c>
      <c r="H240">
        <v>2.2098512000000001E-2</v>
      </c>
      <c r="I240">
        <v>0.30179725699999999</v>
      </c>
    </row>
    <row r="241" spans="1:9">
      <c r="A241" t="s">
        <v>130</v>
      </c>
      <c r="B241" t="str">
        <f>VLOOKUP(A241,PW!A:C,2,0)</f>
        <v>N‑Glycan biosynthesis KEGG</v>
      </c>
      <c r="C241" t="str">
        <f t="shared" si="3"/>
        <v>B4GALT1-&gt;ST6GAL1</v>
      </c>
      <c r="D241" t="s">
        <v>278</v>
      </c>
      <c r="E241" t="s">
        <v>545</v>
      </c>
      <c r="F241">
        <v>0.32743803799999999</v>
      </c>
      <c r="G241">
        <v>0.32743803799999999</v>
      </c>
      <c r="H241">
        <v>2.2268901000000001E-2</v>
      </c>
      <c r="I241">
        <v>0.30285704899999999</v>
      </c>
    </row>
    <row r="242" spans="1:9">
      <c r="A242" t="s">
        <v>143</v>
      </c>
      <c r="B242" t="str">
        <f>VLOOKUP(A242,PW!A:C,2,0)</f>
        <v>Th1 and Th2 cell differentiation</v>
      </c>
      <c r="C242" t="str">
        <f t="shared" si="3"/>
        <v>NFKB1-&gt;IL4R</v>
      </c>
      <c r="D242" t="s">
        <v>272</v>
      </c>
      <c r="E242" t="s">
        <v>430</v>
      </c>
      <c r="F242">
        <v>-0.44531308600000002</v>
      </c>
      <c r="G242">
        <v>0.44531308600000002</v>
      </c>
      <c r="H242">
        <v>2.2509365999999999E-2</v>
      </c>
      <c r="I242">
        <v>0.30347431600000002</v>
      </c>
    </row>
    <row r="243" spans="1:9">
      <c r="A243" t="s">
        <v>169</v>
      </c>
      <c r="B243" t="str">
        <f>VLOOKUP(A243,PW!A:C,2,0)</f>
        <v>Pathways in cancer</v>
      </c>
      <c r="C243" t="str">
        <f t="shared" si="3"/>
        <v>LEF1-&gt;BIRC5</v>
      </c>
      <c r="D243" t="s">
        <v>621</v>
      </c>
      <c r="E243" t="s">
        <v>708</v>
      </c>
      <c r="F243">
        <v>0.39624176300000002</v>
      </c>
      <c r="G243">
        <v>0.39624176300000002</v>
      </c>
      <c r="H243">
        <v>2.2593216999999999E-2</v>
      </c>
      <c r="I243">
        <v>0.30347431600000002</v>
      </c>
    </row>
    <row r="244" spans="1:9">
      <c r="A244" t="s">
        <v>196</v>
      </c>
      <c r="B244" t="str">
        <f>VLOOKUP(A244,PW!A:C,2,0)</f>
        <v>Bladder cancer</v>
      </c>
      <c r="C244" t="str">
        <f t="shared" si="3"/>
        <v>LEF1-&gt;BIRC5</v>
      </c>
      <c r="D244" t="s">
        <v>621</v>
      </c>
      <c r="E244" t="s">
        <v>708</v>
      </c>
      <c r="F244">
        <v>0.39624176300000002</v>
      </c>
      <c r="G244">
        <v>0.39624176300000002</v>
      </c>
      <c r="H244">
        <v>2.2593216999999999E-2</v>
      </c>
      <c r="I244">
        <v>0.30347431600000002</v>
      </c>
    </row>
    <row r="245" spans="1:9">
      <c r="A245" t="s">
        <v>107</v>
      </c>
      <c r="B245" t="str">
        <f>VLOOKUP(A245,PW!A:C,2,0)</f>
        <v>Cysteine and methionine metabolism</v>
      </c>
      <c r="C245" t="str">
        <f t="shared" si="3"/>
        <v>CTH-&gt;KYAT3</v>
      </c>
      <c r="D245" t="s">
        <v>564</v>
      </c>
      <c r="E245" t="s">
        <v>481</v>
      </c>
      <c r="F245">
        <v>8.3510337000000004E-2</v>
      </c>
      <c r="G245">
        <v>8.3510337000000004E-2</v>
      </c>
      <c r="H245">
        <v>2.2784061000000001E-2</v>
      </c>
      <c r="I245">
        <v>0.30353949699999999</v>
      </c>
    </row>
    <row r="246" spans="1:9">
      <c r="A246" t="s">
        <v>124</v>
      </c>
      <c r="B246" t="str">
        <f>VLOOKUP(A246,PW!A:C,2,0)</f>
        <v>Selenocompound metabolism genome.jp</v>
      </c>
      <c r="C246" t="str">
        <f t="shared" si="3"/>
        <v>CTH-&gt;KYAT3</v>
      </c>
      <c r="D246" t="s">
        <v>564</v>
      </c>
      <c r="E246" t="s">
        <v>481</v>
      </c>
      <c r="F246">
        <v>8.3510337000000004E-2</v>
      </c>
      <c r="G246">
        <v>8.3510337000000004E-2</v>
      </c>
      <c r="H246">
        <v>2.2784061000000001E-2</v>
      </c>
      <c r="I246">
        <v>0.30353949699999999</v>
      </c>
    </row>
    <row r="247" spans="1:9">
      <c r="A247" t="s">
        <v>223</v>
      </c>
      <c r="B247" t="str">
        <f>VLOOKUP(A247,PW!A:C,2,0)</f>
        <v>Steroid biosynthesis</v>
      </c>
      <c r="C247" t="str">
        <f t="shared" si="3"/>
        <v>LSS-&gt;DHCR24</v>
      </c>
      <c r="D247" t="s">
        <v>777</v>
      </c>
      <c r="E247" t="s">
        <v>778</v>
      </c>
      <c r="F247">
        <v>-0.52108826799999997</v>
      </c>
      <c r="G247">
        <v>0.52108826799999997</v>
      </c>
      <c r="H247">
        <v>2.2983542999999999E-2</v>
      </c>
      <c r="I247">
        <v>0.30495237400000003</v>
      </c>
    </row>
    <row r="248" spans="1:9">
      <c r="A248" t="s">
        <v>166</v>
      </c>
      <c r="B248" t="str">
        <f>VLOOKUP(A248,PW!A:C,2,0)</f>
        <v>Propanoate metabolism</v>
      </c>
      <c r="C248" t="str">
        <f t="shared" si="3"/>
        <v>ALDH6A1-&gt;ECHDC1</v>
      </c>
      <c r="D248" t="s">
        <v>412</v>
      </c>
      <c r="E248" t="s">
        <v>602</v>
      </c>
      <c r="F248">
        <v>0.226013995</v>
      </c>
      <c r="G248">
        <v>0.226013995</v>
      </c>
      <c r="H248">
        <v>2.3321469000000001E-2</v>
      </c>
      <c r="I248">
        <v>0.307609735</v>
      </c>
    </row>
    <row r="249" spans="1:9">
      <c r="A249" t="s">
        <v>171</v>
      </c>
      <c r="B249" t="str">
        <f>VLOOKUP(A249,PW!A:C,2,0)</f>
        <v>Apoptosis</v>
      </c>
      <c r="C249" t="str">
        <f t="shared" si="3"/>
        <v>NOL3-&gt;CASP8</v>
      </c>
      <c r="D249" t="s">
        <v>779</v>
      </c>
      <c r="E249" t="s">
        <v>780</v>
      </c>
      <c r="F249">
        <v>0.175508844</v>
      </c>
      <c r="G249">
        <v>0.175508844</v>
      </c>
      <c r="H249">
        <v>2.3493377999999999E-2</v>
      </c>
      <c r="I249">
        <v>0.307609735</v>
      </c>
    </row>
    <row r="250" spans="1:9">
      <c r="A250" t="s">
        <v>156</v>
      </c>
      <c r="B250" t="str">
        <f>VLOOKUP(A250,PW!A:C,2,0)</f>
        <v>Sphingolipid metabolism genome.jp</v>
      </c>
      <c r="C250" t="str">
        <f t="shared" si="3"/>
        <v>SGPP2-&gt;SGPL1</v>
      </c>
      <c r="D250" t="s">
        <v>357</v>
      </c>
      <c r="E250" t="s">
        <v>647</v>
      </c>
      <c r="F250">
        <v>9.9051284000000003E-2</v>
      </c>
      <c r="G250">
        <v>9.9051284000000003E-2</v>
      </c>
      <c r="H250">
        <v>2.3603256999999999E-2</v>
      </c>
      <c r="I250">
        <v>0.307609735</v>
      </c>
    </row>
    <row r="251" spans="1:9">
      <c r="A251" t="s">
        <v>94</v>
      </c>
      <c r="B251" t="str">
        <f>VLOOKUP(A251,PW!A:C,2,0)</f>
        <v>Pentose phosphate pathway</v>
      </c>
      <c r="C251" t="str">
        <f t="shared" si="3"/>
        <v>TALDO1-&gt;TKT</v>
      </c>
      <c r="D251" t="s">
        <v>539</v>
      </c>
      <c r="E251" t="s">
        <v>460</v>
      </c>
      <c r="F251">
        <v>-0.176395676</v>
      </c>
      <c r="G251">
        <v>0.176395676</v>
      </c>
      <c r="H251">
        <v>2.3716259999999999E-2</v>
      </c>
      <c r="I251">
        <v>0.307609735</v>
      </c>
    </row>
    <row r="252" spans="1:9">
      <c r="A252" t="s">
        <v>183</v>
      </c>
      <c r="B252" t="str">
        <f>VLOOKUP(A252,PW!A:C,2,0)</f>
        <v>Drug metabolism – other enzymes</v>
      </c>
      <c r="C252" t="str">
        <f t="shared" si="3"/>
        <v>IMPDH1-&gt;GMPS</v>
      </c>
      <c r="D252" t="s">
        <v>399</v>
      </c>
      <c r="E252" t="s">
        <v>555</v>
      </c>
      <c r="F252">
        <v>0.12664852300000001</v>
      </c>
      <c r="G252">
        <v>0.12664852300000001</v>
      </c>
      <c r="H252">
        <v>2.3747900999999998E-2</v>
      </c>
      <c r="I252">
        <v>0.307609735</v>
      </c>
    </row>
    <row r="253" spans="1:9">
      <c r="A253" t="s">
        <v>182</v>
      </c>
      <c r="B253" t="str">
        <f>VLOOKUP(A253,PW!A:C,2,0)</f>
        <v>Metabolism of xenobiotics by cytochrome P450</v>
      </c>
      <c r="C253" t="str">
        <f t="shared" si="3"/>
        <v>EPHX1-&gt;CYP1B1</v>
      </c>
      <c r="D253" t="s">
        <v>581</v>
      </c>
      <c r="E253" t="s">
        <v>373</v>
      </c>
      <c r="F253">
        <v>0.28587343199999998</v>
      </c>
      <c r="G253">
        <v>0.28587343199999998</v>
      </c>
      <c r="H253">
        <v>2.3985225999999998E-2</v>
      </c>
      <c r="I253">
        <v>0.307609735</v>
      </c>
    </row>
    <row r="254" spans="1:9">
      <c r="A254" t="s">
        <v>149</v>
      </c>
      <c r="B254" t="str">
        <f>VLOOKUP(A254,PW!A:C,2,0)</f>
        <v>Glycerophospholipid metabolism KEGG</v>
      </c>
      <c r="C254" t="str">
        <f t="shared" si="3"/>
        <v>GPD2-&gt;ADPRM</v>
      </c>
      <c r="D254" t="s">
        <v>781</v>
      </c>
      <c r="E254" t="s">
        <v>782</v>
      </c>
      <c r="F254">
        <v>0.313434039</v>
      </c>
      <c r="G254">
        <v>0.313434039</v>
      </c>
      <c r="H254">
        <v>2.4010211E-2</v>
      </c>
      <c r="I254">
        <v>0.307609735</v>
      </c>
    </row>
    <row r="255" spans="1:9">
      <c r="A255" t="s">
        <v>103</v>
      </c>
      <c r="B255" t="str">
        <f>VLOOKUP(A255,PW!A:C,2,0)</f>
        <v>Folate biosynthesis</v>
      </c>
      <c r="C255" t="str">
        <f t="shared" si="3"/>
        <v>FPGS-&gt;GGH</v>
      </c>
      <c r="D255" t="s">
        <v>783</v>
      </c>
      <c r="E255" t="s">
        <v>784</v>
      </c>
      <c r="F255">
        <v>0.74885419099999995</v>
      </c>
      <c r="G255">
        <v>0.74885419099999995</v>
      </c>
      <c r="H255">
        <v>2.4036589000000001E-2</v>
      </c>
      <c r="I255">
        <v>0.307609735</v>
      </c>
    </row>
    <row r="256" spans="1:9">
      <c r="A256" t="s">
        <v>101</v>
      </c>
      <c r="B256" t="str">
        <f>VLOOKUP(A256,PW!A:C,2,0)</f>
        <v>Purine metabolism</v>
      </c>
      <c r="C256" t="str">
        <f t="shared" si="3"/>
        <v>CANT1-&gt;NME6</v>
      </c>
      <c r="D256" t="s">
        <v>432</v>
      </c>
      <c r="E256" t="s">
        <v>285</v>
      </c>
      <c r="F256">
        <v>-0.143659548</v>
      </c>
      <c r="G256">
        <v>0.143659548</v>
      </c>
      <c r="H256">
        <v>2.4046189999999999E-2</v>
      </c>
      <c r="I256">
        <v>0.307609735</v>
      </c>
    </row>
    <row r="257" spans="1:9">
      <c r="A257" t="s">
        <v>158</v>
      </c>
      <c r="B257" t="str">
        <f>VLOOKUP(A257,PW!A:C,2,0)</f>
        <v>Glycosphingolipid biosynthesis – lacto &amp; neolacto series genome.jp</v>
      </c>
      <c r="C257" t="str">
        <f t="shared" si="3"/>
        <v>ABO-&gt;ABO</v>
      </c>
      <c r="D257" t="s">
        <v>785</v>
      </c>
      <c r="E257" t="s">
        <v>785</v>
      </c>
      <c r="F257" s="1">
        <v>-1.67E-16</v>
      </c>
      <c r="G257" s="1">
        <v>1.6657899999999999E-16</v>
      </c>
      <c r="H257">
        <v>2.4223709E-2</v>
      </c>
      <c r="I257">
        <v>0.307609735</v>
      </c>
    </row>
    <row r="258" spans="1:9">
      <c r="A258" t="s">
        <v>160</v>
      </c>
      <c r="B258" t="str">
        <f>VLOOKUP(A258,PW!A:C,2,0)</f>
        <v>Glycosphingolipid biosynthesis – globo &amp; isoglobo series genome.jp</v>
      </c>
      <c r="C258" t="str">
        <f t="shared" ref="C258:C321" si="4">D258&amp;"-&gt;"&amp;E258</f>
        <v>ABO-&gt;ABO</v>
      </c>
      <c r="D258" t="s">
        <v>785</v>
      </c>
      <c r="E258" t="s">
        <v>785</v>
      </c>
      <c r="F258" s="1">
        <v>-1.67E-16</v>
      </c>
      <c r="G258" s="1">
        <v>1.6657899999999999E-16</v>
      </c>
      <c r="H258">
        <v>2.4223709E-2</v>
      </c>
      <c r="I258">
        <v>0.307609735</v>
      </c>
    </row>
    <row r="259" spans="1:9">
      <c r="A259" t="s">
        <v>241</v>
      </c>
      <c r="B259" t="str">
        <f>VLOOKUP(A259,PW!A:C,2,0)</f>
        <v>Oocyte meiosis</v>
      </c>
      <c r="C259" t="str">
        <f t="shared" si="4"/>
        <v>AR-&gt;PRKACA</v>
      </c>
      <c r="D259" t="s">
        <v>786</v>
      </c>
      <c r="E259" t="s">
        <v>469</v>
      </c>
      <c r="F259">
        <v>0.125474538</v>
      </c>
      <c r="G259">
        <v>0.125474538</v>
      </c>
      <c r="H259">
        <v>2.4314740000000001E-2</v>
      </c>
      <c r="I259">
        <v>0.307609735</v>
      </c>
    </row>
    <row r="260" spans="1:9">
      <c r="A260" t="s">
        <v>132</v>
      </c>
      <c r="B260" t="str">
        <f>VLOOKUP(A260,PW!A:C,2,0)</f>
        <v>Mucin‑type O‑glycan biosynthesis KEGG</v>
      </c>
      <c r="C260" t="str">
        <f t="shared" si="4"/>
        <v>POC1B-GALNT4-&gt;C1GALT1C1</v>
      </c>
      <c r="D260" t="s">
        <v>567</v>
      </c>
      <c r="E260" t="s">
        <v>586</v>
      </c>
      <c r="F260">
        <v>-0.29487242299999999</v>
      </c>
      <c r="G260">
        <v>0.29487242299999999</v>
      </c>
      <c r="H260">
        <v>2.4633295999999999E-2</v>
      </c>
      <c r="I260">
        <v>0.30945006400000002</v>
      </c>
    </row>
    <row r="261" spans="1:9">
      <c r="A261" t="s">
        <v>101</v>
      </c>
      <c r="B261" t="str">
        <f>VLOOKUP(A261,PW!A:C,2,0)</f>
        <v>Purine metabolism</v>
      </c>
      <c r="C261" t="str">
        <f t="shared" si="4"/>
        <v>NT5C1B-RDH14-&gt;ADA</v>
      </c>
      <c r="D261" t="s">
        <v>290</v>
      </c>
      <c r="E261" t="s">
        <v>381</v>
      </c>
      <c r="F261">
        <v>0.28536109100000001</v>
      </c>
      <c r="G261">
        <v>0.28536109100000001</v>
      </c>
      <c r="H261">
        <v>2.4649820999999999E-2</v>
      </c>
      <c r="I261">
        <v>0.30945006400000002</v>
      </c>
    </row>
    <row r="262" spans="1:9">
      <c r="A262" t="s">
        <v>190</v>
      </c>
      <c r="B262" t="str">
        <f>VLOOKUP(A262,PW!A:C,2,0)</f>
        <v>Thyroid hormone signaling pathway KEGG</v>
      </c>
      <c r="C262" t="str">
        <f t="shared" si="4"/>
        <v>HIF1A-&gt;SLC2A1</v>
      </c>
      <c r="D262" t="s">
        <v>304</v>
      </c>
      <c r="E262" t="s">
        <v>787</v>
      </c>
      <c r="F262">
        <v>-0.79880453699999998</v>
      </c>
      <c r="G262">
        <v>0.79880453699999998</v>
      </c>
      <c r="H262">
        <v>2.5060547999999998E-2</v>
      </c>
      <c r="I262">
        <v>0.31220469200000001</v>
      </c>
    </row>
    <row r="263" spans="1:9">
      <c r="A263" t="s">
        <v>197</v>
      </c>
      <c r="B263" t="str">
        <f>VLOOKUP(A263,PW!A:C,2,0)</f>
        <v>Central carbon metabolism in cancer – Homo sapiens (human) KEGG</v>
      </c>
      <c r="C263" t="str">
        <f t="shared" si="4"/>
        <v>HIF1A-&gt;SLC2A1</v>
      </c>
      <c r="D263" t="s">
        <v>304</v>
      </c>
      <c r="E263" t="s">
        <v>787</v>
      </c>
      <c r="F263">
        <v>-0.79880453699999998</v>
      </c>
      <c r="G263">
        <v>0.79880453699999998</v>
      </c>
      <c r="H263">
        <v>2.5060547999999998E-2</v>
      </c>
      <c r="I263">
        <v>0.31220469200000001</v>
      </c>
    </row>
    <row r="264" spans="1:9">
      <c r="A264" t="s">
        <v>160</v>
      </c>
      <c r="B264" t="str">
        <f>VLOOKUP(A264,PW!A:C,2,0)</f>
        <v>Glycosphingolipid biosynthesis – globo &amp; isoglobo series genome.jp</v>
      </c>
      <c r="C264" t="str">
        <f t="shared" si="4"/>
        <v>ST3GAL1-&gt;ST8SIA1</v>
      </c>
      <c r="D264" t="s">
        <v>692</v>
      </c>
      <c r="E264" t="s">
        <v>682</v>
      </c>
      <c r="F264">
        <v>1.0111129940000001</v>
      </c>
      <c r="G264">
        <v>1.0111129940000001</v>
      </c>
      <c r="H264">
        <v>2.5167798000000002E-2</v>
      </c>
      <c r="I264">
        <v>0.31234864600000001</v>
      </c>
    </row>
    <row r="265" spans="1:9">
      <c r="A265" t="s">
        <v>153</v>
      </c>
      <c r="B265" t="str">
        <f>VLOOKUP(A265,PW!A:C,2,0)</f>
        <v>Arachidonic acid metabolism genome.jp</v>
      </c>
      <c r="C265" t="str">
        <f t="shared" si="4"/>
        <v>CYP2E1-&gt;ALOX15</v>
      </c>
      <c r="D265" t="s">
        <v>788</v>
      </c>
      <c r="E265" t="s">
        <v>332</v>
      </c>
      <c r="F265">
        <v>0.56304253000000004</v>
      </c>
      <c r="G265">
        <v>0.56304253000000004</v>
      </c>
      <c r="H265">
        <v>2.5678317999999999E-2</v>
      </c>
      <c r="I265">
        <v>0.31627935499999998</v>
      </c>
    </row>
    <row r="266" spans="1:9">
      <c r="A266" t="s">
        <v>154</v>
      </c>
      <c r="B266" t="str">
        <f>VLOOKUP(A266,PW!A:C,2,0)</f>
        <v>Linoleic acid metabolism genome.jp</v>
      </c>
      <c r="C266" t="str">
        <f t="shared" si="4"/>
        <v>CYP2E1-&gt;ALOX15</v>
      </c>
      <c r="D266" t="s">
        <v>788</v>
      </c>
      <c r="E266" t="s">
        <v>332</v>
      </c>
      <c r="F266">
        <v>0.56304253000000004</v>
      </c>
      <c r="G266">
        <v>0.56304253000000004</v>
      </c>
      <c r="H266">
        <v>2.5678317999999999E-2</v>
      </c>
      <c r="I266">
        <v>0.31627935499999998</v>
      </c>
    </row>
    <row r="267" spans="1:9">
      <c r="A267" t="s">
        <v>127</v>
      </c>
      <c r="B267" t="str">
        <f>VLOOKUP(A267,PW!A:C,2,0)</f>
        <v>Nicotinate and nicotinamide metabolism</v>
      </c>
      <c r="C267" t="str">
        <f t="shared" si="4"/>
        <v>BST1-&gt;SIRT2</v>
      </c>
      <c r="D267" t="s">
        <v>659</v>
      </c>
      <c r="E267" t="s">
        <v>263</v>
      </c>
      <c r="F267">
        <v>-0.106225297</v>
      </c>
      <c r="G267">
        <v>0.106225297</v>
      </c>
      <c r="H267">
        <v>2.608282E-2</v>
      </c>
      <c r="I267">
        <v>0.320053845</v>
      </c>
    </row>
    <row r="268" spans="1:9">
      <c r="A268" t="s">
        <v>101</v>
      </c>
      <c r="B268" t="str">
        <f>VLOOKUP(A268,PW!A:C,2,0)</f>
        <v>Purine metabolism</v>
      </c>
      <c r="C268" t="str">
        <f t="shared" si="4"/>
        <v>NME6-&gt;ITPA</v>
      </c>
      <c r="D268" t="s">
        <v>285</v>
      </c>
      <c r="E268" t="s">
        <v>312</v>
      </c>
      <c r="F268">
        <v>0.606063299</v>
      </c>
      <c r="G268">
        <v>0.606063299</v>
      </c>
      <c r="H268">
        <v>2.6464453999999998E-2</v>
      </c>
      <c r="I268">
        <v>0.32270560199999998</v>
      </c>
    </row>
    <row r="269" spans="1:9">
      <c r="A269" t="s">
        <v>126</v>
      </c>
      <c r="B269" t="str">
        <f>VLOOKUP(A269,PW!A:C,2,0)</f>
        <v>Glutathione metabolism KEGG</v>
      </c>
      <c r="C269" t="str">
        <f t="shared" si="4"/>
        <v>ANPEP-&gt;CHAC2</v>
      </c>
      <c r="D269" t="s">
        <v>668</v>
      </c>
      <c r="E269" t="s">
        <v>644</v>
      </c>
      <c r="F269">
        <v>-0.29756844100000002</v>
      </c>
      <c r="G269">
        <v>0.29756844100000002</v>
      </c>
      <c r="H269">
        <v>2.652345E-2</v>
      </c>
      <c r="I269">
        <v>0.32270560199999998</v>
      </c>
    </row>
    <row r="270" spans="1:9">
      <c r="A270" t="s">
        <v>105</v>
      </c>
      <c r="B270" t="str">
        <f>VLOOKUP(A270,PW!A:C,2,0)</f>
        <v>Glycine, serine and threonine metabolism</v>
      </c>
      <c r="C270" t="str">
        <f t="shared" si="4"/>
        <v>PSPH-&gt;SRR</v>
      </c>
      <c r="D270" t="s">
        <v>720</v>
      </c>
      <c r="E270" t="s">
        <v>789</v>
      </c>
      <c r="F270">
        <v>0.377232646</v>
      </c>
      <c r="G270">
        <v>0.377232646</v>
      </c>
      <c r="H270">
        <v>2.6699553000000001E-2</v>
      </c>
      <c r="I270">
        <v>0.32270560199999998</v>
      </c>
    </row>
    <row r="271" spans="1:9">
      <c r="A271" t="s">
        <v>156</v>
      </c>
      <c r="B271" t="str">
        <f>VLOOKUP(A271,PW!A:C,2,0)</f>
        <v>Sphingolipid metabolism genome.jp</v>
      </c>
      <c r="C271" t="str">
        <f t="shared" si="4"/>
        <v>GLA-&gt;GALC</v>
      </c>
      <c r="D271" t="s">
        <v>492</v>
      </c>
      <c r="E271" t="s">
        <v>320</v>
      </c>
      <c r="F271">
        <v>-0.20050439</v>
      </c>
      <c r="G271">
        <v>0.20050439</v>
      </c>
      <c r="H271">
        <v>2.6755628E-2</v>
      </c>
      <c r="I271">
        <v>0.32270560199999998</v>
      </c>
    </row>
    <row r="272" spans="1:9">
      <c r="A272" t="s">
        <v>151</v>
      </c>
      <c r="B272" t="str">
        <f>VLOOKUP(A272,PW!A:C,2,0)</f>
        <v>Ether lipid metabolism KEGG</v>
      </c>
      <c r="C272" t="str">
        <f t="shared" si="4"/>
        <v>GDPD1-&gt;LPCAT4</v>
      </c>
      <c r="D272" t="s">
        <v>576</v>
      </c>
      <c r="E272" t="s">
        <v>768</v>
      </c>
      <c r="F272">
        <v>0.161038179</v>
      </c>
      <c r="G272">
        <v>0.161038179</v>
      </c>
      <c r="H272">
        <v>2.6843045999999999E-2</v>
      </c>
      <c r="I272">
        <v>0.32270560199999998</v>
      </c>
    </row>
    <row r="273" spans="1:9">
      <c r="A273" t="s">
        <v>144</v>
      </c>
      <c r="B273" t="str">
        <f>VLOOKUP(A273,PW!A:C,2,0)</f>
        <v>Biosynthesis of various nucleotide sugars KEGG</v>
      </c>
      <c r="C273" t="str">
        <f t="shared" si="4"/>
        <v>NANP-&gt;NPL</v>
      </c>
      <c r="D273" t="s">
        <v>548</v>
      </c>
      <c r="E273" t="s">
        <v>421</v>
      </c>
      <c r="F273">
        <v>0.28198261200000002</v>
      </c>
      <c r="G273">
        <v>0.28198261200000002</v>
      </c>
      <c r="H273">
        <v>2.6892132999999999E-2</v>
      </c>
      <c r="I273">
        <v>0.32270560199999998</v>
      </c>
    </row>
    <row r="274" spans="1:9">
      <c r="A274" t="s">
        <v>103</v>
      </c>
      <c r="B274" t="str">
        <f>VLOOKUP(A274,PW!A:C,2,0)</f>
        <v>Folate biosynthesis</v>
      </c>
      <c r="C274" t="str">
        <f t="shared" si="4"/>
        <v>PTS-&gt;AKR1C8</v>
      </c>
      <c r="D274" t="s">
        <v>790</v>
      </c>
      <c r="E274" t="s">
        <v>791</v>
      </c>
      <c r="F274">
        <v>-1.629042501</v>
      </c>
      <c r="G274">
        <v>1.629042501</v>
      </c>
      <c r="H274">
        <v>2.7007841000000001E-2</v>
      </c>
      <c r="I274">
        <v>0.32274842599999998</v>
      </c>
    </row>
    <row r="275" spans="1:9">
      <c r="A275" t="s">
        <v>166</v>
      </c>
      <c r="B275" t="str">
        <f>VLOOKUP(A275,PW!A:C,2,0)</f>
        <v>Propanoate metabolism</v>
      </c>
      <c r="C275" t="str">
        <f t="shared" si="4"/>
        <v>ACOX1-&gt;DBT</v>
      </c>
      <c r="D275" t="s">
        <v>552</v>
      </c>
      <c r="E275" t="s">
        <v>580</v>
      </c>
      <c r="F275">
        <v>0.14254955399999999</v>
      </c>
      <c r="G275">
        <v>0.14254955399999999</v>
      </c>
      <c r="H275">
        <v>2.7093465000000001E-2</v>
      </c>
      <c r="I275">
        <v>0.32274842599999998</v>
      </c>
    </row>
    <row r="276" spans="1:9">
      <c r="A276" t="s">
        <v>185</v>
      </c>
      <c r="B276" t="str">
        <f>VLOOKUP(A276,PW!A:C,2,0)</f>
        <v>Phosphatidylinositol signaling system</v>
      </c>
      <c r="C276" t="str">
        <f t="shared" si="4"/>
        <v>INPP5A-&gt;ITPK1</v>
      </c>
      <c r="D276" t="s">
        <v>461</v>
      </c>
      <c r="E276" t="s">
        <v>465</v>
      </c>
      <c r="F276">
        <v>0.231700821</v>
      </c>
      <c r="G276">
        <v>0.231700821</v>
      </c>
      <c r="H276">
        <v>2.7240528999999999E-2</v>
      </c>
      <c r="I276">
        <v>0.323320318</v>
      </c>
    </row>
    <row r="277" spans="1:9">
      <c r="A277" t="s">
        <v>127</v>
      </c>
      <c r="B277" t="str">
        <f>VLOOKUP(A277,PW!A:C,2,0)</f>
        <v>Nicotinate and nicotinamide metabolism</v>
      </c>
      <c r="C277" t="str">
        <f t="shared" si="4"/>
        <v>SARM1-&gt;NADK2</v>
      </c>
      <c r="D277" t="s">
        <v>344</v>
      </c>
      <c r="E277" t="s">
        <v>547</v>
      </c>
      <c r="F277">
        <v>-0.177798498</v>
      </c>
      <c r="G277">
        <v>0.177798498</v>
      </c>
      <c r="H277">
        <v>2.7453688E-2</v>
      </c>
      <c r="I277">
        <v>0.324669702</v>
      </c>
    </row>
    <row r="278" spans="1:9">
      <c r="A278" t="s">
        <v>156</v>
      </c>
      <c r="B278" t="str">
        <f>VLOOKUP(A278,PW!A:C,2,0)</f>
        <v>Sphingolipid metabolism genome.jp</v>
      </c>
      <c r="C278" t="str">
        <f t="shared" si="4"/>
        <v>GALC-&gt;PLPP1</v>
      </c>
      <c r="D278" t="s">
        <v>320</v>
      </c>
      <c r="E278" t="s">
        <v>321</v>
      </c>
      <c r="F278">
        <v>0.97803337000000001</v>
      </c>
      <c r="G278">
        <v>0.97803337000000001</v>
      </c>
      <c r="H278">
        <v>2.8764714E-2</v>
      </c>
      <c r="I278">
        <v>0.33839925900000001</v>
      </c>
    </row>
    <row r="279" spans="1:9">
      <c r="A279" t="s">
        <v>101</v>
      </c>
      <c r="B279" t="str">
        <f>VLOOKUP(A279,PW!A:C,2,0)</f>
        <v>Purine metabolism</v>
      </c>
      <c r="C279" t="str">
        <f t="shared" si="4"/>
        <v>NUDT16-&gt;NME6</v>
      </c>
      <c r="D279" t="s">
        <v>297</v>
      </c>
      <c r="E279" t="s">
        <v>285</v>
      </c>
      <c r="F279">
        <v>-0.14757411300000001</v>
      </c>
      <c r="G279">
        <v>0.14757411300000001</v>
      </c>
      <c r="H279">
        <v>2.8821995999999999E-2</v>
      </c>
      <c r="I279">
        <v>0.33839925900000001</v>
      </c>
    </row>
    <row r="280" spans="1:9">
      <c r="A280" t="s">
        <v>156</v>
      </c>
      <c r="B280" t="str">
        <f>VLOOKUP(A280,PW!A:C,2,0)</f>
        <v>Sphingolipid metabolism genome.jp</v>
      </c>
      <c r="C280" t="str">
        <f t="shared" si="4"/>
        <v>GALC-&gt;ARSA</v>
      </c>
      <c r="D280" t="s">
        <v>320</v>
      </c>
      <c r="E280" t="s">
        <v>591</v>
      </c>
      <c r="F280">
        <v>-0.455498705</v>
      </c>
      <c r="G280">
        <v>0.455498705</v>
      </c>
      <c r="H280">
        <v>2.9014755E-2</v>
      </c>
      <c r="I280">
        <v>0.33944142999999999</v>
      </c>
    </row>
    <row r="281" spans="1:9">
      <c r="A281" t="s">
        <v>92</v>
      </c>
      <c r="B281" t="str">
        <f>VLOOKUP(A281,PW!A:C,2,0)</f>
        <v>Glycolysis / Gluconeogenesis</v>
      </c>
      <c r="C281" t="str">
        <f t="shared" si="4"/>
        <v>BPGM-&gt;PGK1</v>
      </c>
      <c r="D281" t="s">
        <v>706</v>
      </c>
      <c r="E281" t="s">
        <v>603</v>
      </c>
      <c r="F281">
        <v>8.4660371999999998E-2</v>
      </c>
      <c r="G281">
        <v>8.4660371999999998E-2</v>
      </c>
      <c r="H281">
        <v>2.9278965000000001E-2</v>
      </c>
      <c r="I281">
        <v>0.340361472</v>
      </c>
    </row>
    <row r="282" spans="1:9">
      <c r="A282" t="s">
        <v>150</v>
      </c>
      <c r="B282" t="str">
        <f>VLOOKUP(A282,PW!A:C,2,0)</f>
        <v>Melanogenesis KEGG</v>
      </c>
      <c r="C282" t="str">
        <f t="shared" si="4"/>
        <v>MITF-&gt;DCT</v>
      </c>
      <c r="D282" t="s">
        <v>400</v>
      </c>
      <c r="E282" t="s">
        <v>401</v>
      </c>
      <c r="F282">
        <v>-0.63175772799999996</v>
      </c>
      <c r="G282">
        <v>0.63175772799999996</v>
      </c>
      <c r="H282">
        <v>2.9301952999999999E-2</v>
      </c>
      <c r="I282">
        <v>0.340361472</v>
      </c>
    </row>
    <row r="283" spans="1:9">
      <c r="A283" t="s">
        <v>173</v>
      </c>
      <c r="B283" t="str">
        <f>VLOOKUP(A283,PW!A:C,2,0)</f>
        <v>p53 signaling pathway</v>
      </c>
      <c r="C283" t="str">
        <f t="shared" si="4"/>
        <v>TP53-&gt;TP73</v>
      </c>
      <c r="D283" t="s">
        <v>315</v>
      </c>
      <c r="E283" t="s">
        <v>792</v>
      </c>
      <c r="F283">
        <v>1.0383991619999999</v>
      </c>
      <c r="G283">
        <v>1.0383991619999999</v>
      </c>
      <c r="H283">
        <v>2.9850301999999999E-2</v>
      </c>
      <c r="I283">
        <v>0.34326722700000001</v>
      </c>
    </row>
    <row r="284" spans="1:9">
      <c r="A284" t="s">
        <v>101</v>
      </c>
      <c r="B284" t="str">
        <f>VLOOKUP(A284,PW!A:C,2,0)</f>
        <v>Purine metabolism</v>
      </c>
      <c r="C284" t="str">
        <f t="shared" si="4"/>
        <v>NME6-&gt;CANT1</v>
      </c>
      <c r="D284" t="s">
        <v>285</v>
      </c>
      <c r="E284" t="s">
        <v>432</v>
      </c>
      <c r="F284">
        <v>-0.66139500200000001</v>
      </c>
      <c r="G284">
        <v>0.66139500200000001</v>
      </c>
      <c r="H284">
        <v>2.9881755999999999E-2</v>
      </c>
      <c r="I284">
        <v>0.34326722700000001</v>
      </c>
    </row>
    <row r="285" spans="1:9">
      <c r="A285" t="s">
        <v>102</v>
      </c>
      <c r="B285" t="str">
        <f>VLOOKUP(A285,PW!A:C,2,0)</f>
        <v>Pyrimidine metabolism</v>
      </c>
      <c r="C285" t="str">
        <f t="shared" si="4"/>
        <v>NME6-&gt;CANT1</v>
      </c>
      <c r="D285" t="s">
        <v>285</v>
      </c>
      <c r="E285" t="s">
        <v>432</v>
      </c>
      <c r="F285">
        <v>-0.66139500200000001</v>
      </c>
      <c r="G285">
        <v>0.66139500200000001</v>
      </c>
      <c r="H285">
        <v>2.9881755999999999E-2</v>
      </c>
      <c r="I285">
        <v>0.34326722700000001</v>
      </c>
    </row>
    <row r="286" spans="1:9">
      <c r="A286" t="s">
        <v>101</v>
      </c>
      <c r="B286" t="str">
        <f>VLOOKUP(A286,PW!A:C,2,0)</f>
        <v>Purine metabolism</v>
      </c>
      <c r="C286" t="str">
        <f t="shared" si="4"/>
        <v>PNP-&gt;NT5C1B-RDH14</v>
      </c>
      <c r="D286" t="s">
        <v>755</v>
      </c>
      <c r="E286" t="s">
        <v>290</v>
      </c>
      <c r="F286">
        <v>0.237227035</v>
      </c>
      <c r="G286">
        <v>0.237227035</v>
      </c>
      <c r="H286">
        <v>3.0329752000000001E-2</v>
      </c>
      <c r="I286">
        <v>0.34326722700000001</v>
      </c>
    </row>
    <row r="287" spans="1:9">
      <c r="A287" t="s">
        <v>161</v>
      </c>
      <c r="B287" t="str">
        <f>VLOOKUP(A287,PW!A:C,2,0)</f>
        <v>Human T‑cell leukemia virus 1 infection</v>
      </c>
      <c r="C287" t="str">
        <f t="shared" si="4"/>
        <v>TCF3-&gt;POLB</v>
      </c>
      <c r="D287" t="s">
        <v>654</v>
      </c>
      <c r="E287" t="s">
        <v>793</v>
      </c>
      <c r="F287">
        <v>-0.19700943600000001</v>
      </c>
      <c r="G287">
        <v>0.19700943600000001</v>
      </c>
      <c r="H287">
        <v>3.0367069999999999E-2</v>
      </c>
      <c r="I287">
        <v>0.34326722700000001</v>
      </c>
    </row>
    <row r="288" spans="1:9">
      <c r="A288" t="s">
        <v>31</v>
      </c>
      <c r="B288" t="str">
        <f>VLOOKUP(A288,PW!A:C,2,0)</f>
        <v>Growth hormone synthesis, secretion and action KEGG</v>
      </c>
      <c r="C288" t="str">
        <f t="shared" si="4"/>
        <v>STAT1-&gt;IGFBP3</v>
      </c>
      <c r="D288" t="s">
        <v>308</v>
      </c>
      <c r="E288" t="s">
        <v>763</v>
      </c>
      <c r="F288">
        <v>0.57070164999999995</v>
      </c>
      <c r="G288">
        <v>0.57070164999999995</v>
      </c>
      <c r="H288">
        <v>3.0444816E-2</v>
      </c>
      <c r="I288">
        <v>0.34326722700000001</v>
      </c>
    </row>
    <row r="289" spans="1:9">
      <c r="A289" t="s">
        <v>177</v>
      </c>
      <c r="B289" t="str">
        <f>VLOOKUP(A289,PW!A:C,2,0)</f>
        <v>Porphyrin and chlorophyll metabolism</v>
      </c>
      <c r="C289" t="str">
        <f t="shared" si="4"/>
        <v>ALAS1-&gt;ALAD</v>
      </c>
      <c r="D289" t="s">
        <v>794</v>
      </c>
      <c r="E289" t="s">
        <v>795</v>
      </c>
      <c r="F289">
        <v>-0.32417559000000001</v>
      </c>
      <c r="G289">
        <v>0.32417559000000001</v>
      </c>
      <c r="H289">
        <v>3.0454979E-2</v>
      </c>
      <c r="I289">
        <v>0.34326722700000001</v>
      </c>
    </row>
    <row r="290" spans="1:9">
      <c r="A290" t="s">
        <v>170</v>
      </c>
      <c r="B290" t="str">
        <f>VLOOKUP(A290,PW!A:C,2,0)</f>
        <v>One carbon pool by folate</v>
      </c>
      <c r="C290" t="str">
        <f t="shared" si="4"/>
        <v>TYMS-&gt;MTHFR</v>
      </c>
      <c r="D290" t="s">
        <v>678</v>
      </c>
      <c r="E290" t="s">
        <v>796</v>
      </c>
      <c r="F290">
        <v>-7.9545517999999996E-2</v>
      </c>
      <c r="G290">
        <v>7.9545517999999996E-2</v>
      </c>
      <c r="H290">
        <v>3.0478838000000001E-2</v>
      </c>
      <c r="I290">
        <v>0.34326722700000001</v>
      </c>
    </row>
    <row r="291" spans="1:9">
      <c r="A291" t="s">
        <v>143</v>
      </c>
      <c r="B291" t="str">
        <f>VLOOKUP(A291,PW!A:C,2,0)</f>
        <v>Th1 and Th2 cell differentiation</v>
      </c>
      <c r="C291" t="str">
        <f t="shared" si="4"/>
        <v>NFKB1-&gt;IL12RB1</v>
      </c>
      <c r="D291" t="s">
        <v>272</v>
      </c>
      <c r="E291" t="s">
        <v>428</v>
      </c>
      <c r="F291">
        <v>0.40325146099999998</v>
      </c>
      <c r="G291">
        <v>0.40325146099999998</v>
      </c>
      <c r="H291">
        <v>3.0596446999999999E-2</v>
      </c>
      <c r="I291">
        <v>0.34326722700000001</v>
      </c>
    </row>
    <row r="292" spans="1:9">
      <c r="A292" t="s">
        <v>109</v>
      </c>
      <c r="B292" t="str">
        <f>VLOOKUP(A292,PW!A:C,2,0)</f>
        <v>Valine, leucine and isoleucine degradation</v>
      </c>
      <c r="C292" t="str">
        <f t="shared" si="4"/>
        <v>AOX1-&gt;HIBADH</v>
      </c>
      <c r="D292" t="s">
        <v>683</v>
      </c>
      <c r="E292" t="s">
        <v>496</v>
      </c>
      <c r="F292">
        <v>-7.0041797000000003E-2</v>
      </c>
      <c r="G292">
        <v>7.0041797000000003E-2</v>
      </c>
      <c r="H292">
        <v>3.0603788E-2</v>
      </c>
      <c r="I292">
        <v>0.34326722700000001</v>
      </c>
    </row>
    <row r="293" spans="1:9">
      <c r="A293" t="s">
        <v>169</v>
      </c>
      <c r="B293" t="str">
        <f>VLOOKUP(A293,PW!A:C,2,0)</f>
        <v>Pathways in cancer</v>
      </c>
      <c r="C293" t="str">
        <f t="shared" si="4"/>
        <v>CEBPA-&gt;MYC</v>
      </c>
      <c r="D293" t="s">
        <v>508</v>
      </c>
      <c r="E293" t="s">
        <v>509</v>
      </c>
      <c r="F293">
        <v>0.27860273499999999</v>
      </c>
      <c r="G293">
        <v>0.27860273499999999</v>
      </c>
      <c r="H293">
        <v>3.0828999999999999E-2</v>
      </c>
      <c r="I293">
        <v>0.34335423300000001</v>
      </c>
    </row>
    <row r="294" spans="1:9">
      <c r="A294" t="s">
        <v>185</v>
      </c>
      <c r="B294" t="str">
        <f>VLOOKUP(A294,PW!A:C,2,0)</f>
        <v>Phosphatidylinositol signaling system</v>
      </c>
      <c r="C294" t="str">
        <f t="shared" si="4"/>
        <v>PTEN-&gt;INPP4A</v>
      </c>
      <c r="D294" t="s">
        <v>477</v>
      </c>
      <c r="E294" t="s">
        <v>479</v>
      </c>
      <c r="F294">
        <v>-0.12255448300000001</v>
      </c>
      <c r="G294">
        <v>0.12255448300000001</v>
      </c>
      <c r="H294">
        <v>3.0864315999999999E-2</v>
      </c>
      <c r="I294">
        <v>0.34335423300000001</v>
      </c>
    </row>
    <row r="295" spans="1:9">
      <c r="A295" t="s">
        <v>127</v>
      </c>
      <c r="B295" t="str">
        <f>VLOOKUP(A295,PW!A:C,2,0)</f>
        <v>Nicotinate and nicotinamide metabolism</v>
      </c>
      <c r="C295" t="str">
        <f t="shared" si="4"/>
        <v>BST1-&gt;NADK2</v>
      </c>
      <c r="D295" t="s">
        <v>659</v>
      </c>
      <c r="E295" t="s">
        <v>547</v>
      </c>
      <c r="F295">
        <v>0.126755642</v>
      </c>
      <c r="G295">
        <v>0.126755642</v>
      </c>
      <c r="H295">
        <v>3.0927128000000002E-2</v>
      </c>
      <c r="I295">
        <v>0.34335423300000001</v>
      </c>
    </row>
    <row r="296" spans="1:9">
      <c r="A296" t="s">
        <v>228</v>
      </c>
      <c r="B296" t="str">
        <f>VLOOKUP(A296,PW!A:C,2,0)</f>
        <v>Hepatitis C</v>
      </c>
      <c r="C296" t="str">
        <f t="shared" si="4"/>
        <v>IRF9-&gt;IRF7</v>
      </c>
      <c r="D296" t="s">
        <v>489</v>
      </c>
      <c r="E296" t="s">
        <v>797</v>
      </c>
      <c r="F296">
        <v>0.39080794600000002</v>
      </c>
      <c r="G296">
        <v>0.39080794600000002</v>
      </c>
      <c r="H296">
        <v>3.1269599000000002E-2</v>
      </c>
      <c r="I296">
        <v>0.34481070899999999</v>
      </c>
    </row>
    <row r="297" spans="1:9">
      <c r="A297" t="s">
        <v>155</v>
      </c>
      <c r="B297" t="str">
        <f>VLOOKUP(A297,PW!A:C,2,0)</f>
        <v>Kaposi sarcoma‑associated herpesvirus infection</v>
      </c>
      <c r="C297" t="str">
        <f t="shared" si="4"/>
        <v>IRF9-&gt;IRF7</v>
      </c>
      <c r="D297" t="s">
        <v>489</v>
      </c>
      <c r="E297" t="s">
        <v>797</v>
      </c>
      <c r="F297">
        <v>0.39080794600000002</v>
      </c>
      <c r="G297">
        <v>0.39080794600000002</v>
      </c>
      <c r="H297">
        <v>3.1269599000000002E-2</v>
      </c>
      <c r="I297">
        <v>0.34481070899999999</v>
      </c>
    </row>
    <row r="298" spans="1:9">
      <c r="A298" t="s">
        <v>230</v>
      </c>
      <c r="B298" t="str">
        <f>VLOOKUP(A298,PW!A:C,2,0)</f>
        <v>Histidine metabolism</v>
      </c>
      <c r="C298" t="str">
        <f t="shared" si="4"/>
        <v>CARNMT1-&gt;CNDP2</v>
      </c>
      <c r="D298" t="s">
        <v>798</v>
      </c>
      <c r="E298" t="s">
        <v>382</v>
      </c>
      <c r="F298">
        <v>-0.344171373</v>
      </c>
      <c r="G298">
        <v>0.344171373</v>
      </c>
      <c r="H298">
        <v>3.1440650000000001E-2</v>
      </c>
      <c r="I298">
        <v>0.34552956400000001</v>
      </c>
    </row>
    <row r="299" spans="1:9">
      <c r="A299" t="s">
        <v>166</v>
      </c>
      <c r="B299" t="str">
        <f>VLOOKUP(A299,PW!A:C,2,0)</f>
        <v>Propanoate metabolism</v>
      </c>
      <c r="C299" t="str">
        <f t="shared" si="4"/>
        <v>ALDH6A1-&gt;ACADS</v>
      </c>
      <c r="D299" t="s">
        <v>412</v>
      </c>
      <c r="E299" t="s">
        <v>456</v>
      </c>
      <c r="F299">
        <v>-0.42165443699999999</v>
      </c>
      <c r="G299">
        <v>0.42165443699999999</v>
      </c>
      <c r="H299">
        <v>3.1699647999999997E-2</v>
      </c>
      <c r="I299">
        <v>0.34720688399999999</v>
      </c>
    </row>
    <row r="300" spans="1:9">
      <c r="A300" t="s">
        <v>153</v>
      </c>
      <c r="B300" t="str">
        <f>VLOOKUP(A300,PW!A:C,2,0)</f>
        <v>Arachidonic acid metabolism genome.jp</v>
      </c>
      <c r="C300" t="str">
        <f t="shared" si="4"/>
        <v>CYP2U1-&gt;ALOX5</v>
      </c>
      <c r="D300" t="s">
        <v>799</v>
      </c>
      <c r="E300" t="s">
        <v>371</v>
      </c>
      <c r="F300">
        <v>0.238776557</v>
      </c>
      <c r="G300">
        <v>0.238776557</v>
      </c>
      <c r="H300">
        <v>3.1927921999999997E-2</v>
      </c>
      <c r="I300">
        <v>0.34758510199999998</v>
      </c>
    </row>
    <row r="301" spans="1:9">
      <c r="A301" t="s">
        <v>107</v>
      </c>
      <c r="B301" t="str">
        <f>VLOOKUP(A301,PW!A:C,2,0)</f>
        <v>Cysteine and methionine metabolism</v>
      </c>
      <c r="C301" t="str">
        <f t="shared" si="4"/>
        <v>PSAT1-&gt;PHGDH</v>
      </c>
      <c r="D301" t="s">
        <v>553</v>
      </c>
      <c r="E301" t="s">
        <v>554</v>
      </c>
      <c r="F301">
        <v>0.29836980200000002</v>
      </c>
      <c r="G301">
        <v>0.29836980200000002</v>
      </c>
      <c r="H301">
        <v>3.1981144000000003E-2</v>
      </c>
      <c r="I301">
        <v>0.34758510199999998</v>
      </c>
    </row>
    <row r="302" spans="1:9">
      <c r="A302" t="s">
        <v>198</v>
      </c>
      <c r="B302" t="str">
        <f>VLOOKUP(A302,PW!A:C,2,0)</f>
        <v>Aldosterone‑regulated sodium reabsorption KEGG</v>
      </c>
      <c r="C302" t="str">
        <f t="shared" si="4"/>
        <v>NR3C2-&gt;KRAS</v>
      </c>
      <c r="D302" t="s">
        <v>664</v>
      </c>
      <c r="E302" t="s">
        <v>665</v>
      </c>
      <c r="F302">
        <v>9.5130269000000003E-2</v>
      </c>
      <c r="G302">
        <v>9.5130269000000003E-2</v>
      </c>
      <c r="H302">
        <v>3.2144638000000003E-2</v>
      </c>
      <c r="I302">
        <v>0.34758510199999998</v>
      </c>
    </row>
    <row r="303" spans="1:9">
      <c r="A303" t="s">
        <v>113</v>
      </c>
      <c r="B303" t="str">
        <f>VLOOKUP(A303,PW!A:C,2,0)</f>
        <v>Arginine and proline metabolism</v>
      </c>
      <c r="C303" t="str">
        <f t="shared" si="4"/>
        <v>OAT-&gt;ALDH4A1</v>
      </c>
      <c r="D303" t="s">
        <v>486</v>
      </c>
      <c r="E303" t="s">
        <v>487</v>
      </c>
      <c r="F303">
        <v>-0.38800547400000002</v>
      </c>
      <c r="G303">
        <v>0.38800547400000002</v>
      </c>
      <c r="H303">
        <v>3.2238569000000002E-2</v>
      </c>
      <c r="I303">
        <v>0.34758510199999998</v>
      </c>
    </row>
    <row r="304" spans="1:9">
      <c r="A304" t="s">
        <v>171</v>
      </c>
      <c r="B304" t="str">
        <f>VLOOKUP(A304,PW!A:C,2,0)</f>
        <v>Apoptosis</v>
      </c>
      <c r="C304" t="str">
        <f t="shared" si="4"/>
        <v>FOS-&gt;BCL2L11</v>
      </c>
      <c r="D304" t="s">
        <v>319</v>
      </c>
      <c r="E304" t="s">
        <v>800</v>
      </c>
      <c r="F304">
        <v>-0.21024944100000001</v>
      </c>
      <c r="G304">
        <v>0.21024944100000001</v>
      </c>
      <c r="H304">
        <v>3.2266632000000003E-2</v>
      </c>
      <c r="I304">
        <v>0.34758510199999998</v>
      </c>
    </row>
    <row r="305" spans="1:9">
      <c r="A305" t="s">
        <v>97</v>
      </c>
      <c r="B305" t="str">
        <f>VLOOKUP(A305,PW!A:C,2,0)</f>
        <v>Fatty acid biosynthesis</v>
      </c>
      <c r="C305" t="str">
        <f t="shared" si="4"/>
        <v>ACSF3-&gt;ACACA</v>
      </c>
      <c r="D305" t="s">
        <v>322</v>
      </c>
      <c r="E305" t="s">
        <v>425</v>
      </c>
      <c r="F305">
        <v>0.28359336099999999</v>
      </c>
      <c r="G305">
        <v>0.28359336099999999</v>
      </c>
      <c r="H305">
        <v>3.2582661999999998E-2</v>
      </c>
      <c r="I305">
        <v>0.34983489299999998</v>
      </c>
    </row>
    <row r="306" spans="1:9">
      <c r="A306" t="s">
        <v>185</v>
      </c>
      <c r="B306" t="str">
        <f>VLOOKUP(A306,PW!A:C,2,0)</f>
        <v>Phosphatidylinositol signaling system</v>
      </c>
      <c r="C306" t="str">
        <f t="shared" si="4"/>
        <v>PTEN-&gt;PIKFYVE</v>
      </c>
      <c r="D306" t="s">
        <v>477</v>
      </c>
      <c r="E306" t="s">
        <v>639</v>
      </c>
      <c r="F306">
        <v>-0.109166952</v>
      </c>
      <c r="G306">
        <v>0.109166952</v>
      </c>
      <c r="H306">
        <v>3.2804145E-2</v>
      </c>
      <c r="I306">
        <v>0.351058127</v>
      </c>
    </row>
    <row r="307" spans="1:9">
      <c r="A307" t="s">
        <v>144</v>
      </c>
      <c r="B307" t="str">
        <f>VLOOKUP(A307,PW!A:C,2,0)</f>
        <v>Biosynthesis of various nucleotide sugars KEGG</v>
      </c>
      <c r="C307" t="str">
        <f t="shared" si="4"/>
        <v>NANP-&gt;NANS</v>
      </c>
      <c r="D307" t="s">
        <v>548</v>
      </c>
      <c r="E307" t="s">
        <v>420</v>
      </c>
      <c r="F307">
        <v>0.227674923</v>
      </c>
      <c r="G307">
        <v>0.227674923</v>
      </c>
      <c r="H307">
        <v>3.3116759000000003E-2</v>
      </c>
      <c r="I307">
        <v>0.35225659100000001</v>
      </c>
    </row>
    <row r="308" spans="1:9">
      <c r="A308" t="s">
        <v>103</v>
      </c>
      <c r="B308" t="str">
        <f>VLOOKUP(A308,PW!A:C,2,0)</f>
        <v>Folate biosynthesis</v>
      </c>
      <c r="C308" t="str">
        <f t="shared" si="4"/>
        <v>MOCS1-&gt;MOCS2</v>
      </c>
      <c r="D308" t="s">
        <v>314</v>
      </c>
      <c r="E308" t="s">
        <v>801</v>
      </c>
      <c r="F308">
        <v>-0.110117441</v>
      </c>
      <c r="G308">
        <v>0.110117441</v>
      </c>
      <c r="H308">
        <v>3.3144564000000001E-2</v>
      </c>
      <c r="I308">
        <v>0.35225659100000001</v>
      </c>
    </row>
    <row r="309" spans="1:9">
      <c r="A309" t="s">
        <v>129</v>
      </c>
      <c r="B309" t="str">
        <f>VLOOKUP(A309,PW!A:C,2,0)</f>
        <v>IL‑17 signaling pathway</v>
      </c>
      <c r="C309" t="str">
        <f t="shared" si="4"/>
        <v>FOS-&gt;S100A8</v>
      </c>
      <c r="D309" t="s">
        <v>319</v>
      </c>
      <c r="E309" t="s">
        <v>352</v>
      </c>
      <c r="F309">
        <v>-0.42420095299999999</v>
      </c>
      <c r="G309">
        <v>0.42420095299999999</v>
      </c>
      <c r="H309">
        <v>3.3239899000000003E-2</v>
      </c>
      <c r="I309">
        <v>0.35225659100000001</v>
      </c>
    </row>
    <row r="310" spans="1:9">
      <c r="A310" t="s">
        <v>163</v>
      </c>
      <c r="B310" t="str">
        <f>VLOOKUP(A310,PW!A:C,2,0)</f>
        <v>Epstein‑Barr virus infection</v>
      </c>
      <c r="C310" t="str">
        <f t="shared" si="4"/>
        <v>NFKB1-&gt;ITGAL</v>
      </c>
      <c r="D310" t="s">
        <v>272</v>
      </c>
      <c r="E310" t="s">
        <v>802</v>
      </c>
      <c r="F310">
        <v>0.236304397</v>
      </c>
      <c r="G310">
        <v>0.236304397</v>
      </c>
      <c r="H310">
        <v>3.3547059999999997E-2</v>
      </c>
      <c r="I310">
        <v>0.35360705999999997</v>
      </c>
    </row>
    <row r="311" spans="1:9">
      <c r="A311" t="s">
        <v>127</v>
      </c>
      <c r="B311" t="str">
        <f>VLOOKUP(A311,PW!A:C,2,0)</f>
        <v>Nicotinate and nicotinamide metabolism</v>
      </c>
      <c r="C311" t="str">
        <f t="shared" si="4"/>
        <v>BST1-&gt;PNP</v>
      </c>
      <c r="D311" t="s">
        <v>659</v>
      </c>
      <c r="E311" t="s">
        <v>755</v>
      </c>
      <c r="F311">
        <v>-0.37865910600000002</v>
      </c>
      <c r="G311">
        <v>0.37865910600000002</v>
      </c>
      <c r="H311">
        <v>3.3584004000000001E-2</v>
      </c>
      <c r="I311">
        <v>0.35360705999999997</v>
      </c>
    </row>
    <row r="312" spans="1:9">
      <c r="A312" t="s">
        <v>129</v>
      </c>
      <c r="B312" t="str">
        <f>VLOOKUP(A312,PW!A:C,2,0)</f>
        <v>IL‑17 signaling pathway</v>
      </c>
      <c r="C312" t="str">
        <f t="shared" si="4"/>
        <v>FOS-&gt;LCN2</v>
      </c>
      <c r="D312" t="s">
        <v>319</v>
      </c>
      <c r="E312" t="s">
        <v>749</v>
      </c>
      <c r="F312">
        <v>-0.85330089899999995</v>
      </c>
      <c r="G312">
        <v>0.85330089899999995</v>
      </c>
      <c r="H312">
        <v>3.3884099000000001E-2</v>
      </c>
      <c r="I312">
        <v>0.355619609</v>
      </c>
    </row>
    <row r="313" spans="1:9">
      <c r="A313" t="s">
        <v>238</v>
      </c>
      <c r="B313" t="str">
        <f>VLOOKUP(A313,PW!A:C,2,0)</f>
        <v>Acute myeloid leukemia</v>
      </c>
      <c r="C313" t="str">
        <f t="shared" si="4"/>
        <v>PML-&gt;CEBPE</v>
      </c>
      <c r="D313" t="s">
        <v>490</v>
      </c>
      <c r="E313" t="s">
        <v>803</v>
      </c>
      <c r="F313">
        <v>-0.46290884900000001</v>
      </c>
      <c r="G313">
        <v>0.46290884900000001</v>
      </c>
      <c r="H313">
        <v>3.4218147999999997E-2</v>
      </c>
      <c r="I313">
        <v>0.357295525</v>
      </c>
    </row>
    <row r="314" spans="1:9">
      <c r="A314" t="s">
        <v>185</v>
      </c>
      <c r="B314" t="str">
        <f>VLOOKUP(A314,PW!A:C,2,0)</f>
        <v>Phosphatidylinositol signaling system</v>
      </c>
      <c r="C314" t="str">
        <f t="shared" si="4"/>
        <v>PLCD3-&gt;CDIPT</v>
      </c>
      <c r="D314" t="s">
        <v>341</v>
      </c>
      <c r="E314" t="s">
        <v>409</v>
      </c>
      <c r="F314">
        <v>-0.25704514499999997</v>
      </c>
      <c r="G314">
        <v>0.25704514499999997</v>
      </c>
      <c r="H314">
        <v>3.4262714E-2</v>
      </c>
      <c r="I314">
        <v>0.357295525</v>
      </c>
    </row>
    <row r="315" spans="1:9">
      <c r="A315" t="s">
        <v>102</v>
      </c>
      <c r="B315" t="str">
        <f>VLOOKUP(A315,PW!A:C,2,0)</f>
        <v>Pyrimidine metabolism</v>
      </c>
      <c r="C315" t="str">
        <f t="shared" si="4"/>
        <v>TYMS-&gt;ENPP1</v>
      </c>
      <c r="D315" t="s">
        <v>678</v>
      </c>
      <c r="E315" t="s">
        <v>577</v>
      </c>
      <c r="F315">
        <v>0.328133281</v>
      </c>
      <c r="G315">
        <v>0.328133281</v>
      </c>
      <c r="H315">
        <v>3.4854414E-2</v>
      </c>
      <c r="I315">
        <v>0.36162132800000002</v>
      </c>
    </row>
    <row r="316" spans="1:9">
      <c r="A316" t="s">
        <v>132</v>
      </c>
      <c r="B316" t="str">
        <f>VLOOKUP(A316,PW!A:C,2,0)</f>
        <v>Mucin‑type O‑glycan biosynthesis KEGG</v>
      </c>
      <c r="C316" t="str">
        <f t="shared" si="4"/>
        <v>ST6GALNAC2-&gt;ST3GAL1</v>
      </c>
      <c r="D316" t="s">
        <v>693</v>
      </c>
      <c r="E316" t="s">
        <v>692</v>
      </c>
      <c r="F316">
        <v>-0.13602866599999999</v>
      </c>
      <c r="G316">
        <v>0.13602866599999999</v>
      </c>
      <c r="H316">
        <v>3.4932224999999997E-2</v>
      </c>
      <c r="I316">
        <v>0.36162132800000002</v>
      </c>
    </row>
    <row r="317" spans="1:9">
      <c r="A317" t="s">
        <v>92</v>
      </c>
      <c r="B317" t="str">
        <f>VLOOKUP(A317,PW!A:C,2,0)</f>
        <v>Glycolysis / Gluconeogenesis</v>
      </c>
      <c r="C317" t="str">
        <f t="shared" si="4"/>
        <v>GAPDH-&gt;PGK1</v>
      </c>
      <c r="D317" t="s">
        <v>544</v>
      </c>
      <c r="E317" t="s">
        <v>603</v>
      </c>
      <c r="F317">
        <v>-0.13053047000000001</v>
      </c>
      <c r="G317">
        <v>0.13053047000000001</v>
      </c>
      <c r="H317">
        <v>3.5009907999999999E-2</v>
      </c>
      <c r="I317">
        <v>0.36162132800000002</v>
      </c>
    </row>
    <row r="318" spans="1:9">
      <c r="A318" t="s">
        <v>126</v>
      </c>
      <c r="B318" t="str">
        <f>VLOOKUP(A318,PW!A:C,2,0)</f>
        <v>Glutathione metabolism KEGG</v>
      </c>
      <c r="C318" t="str">
        <f t="shared" si="4"/>
        <v>LAP3-&gt;CHAC2</v>
      </c>
      <c r="D318" t="s">
        <v>699</v>
      </c>
      <c r="E318" t="s">
        <v>644</v>
      </c>
      <c r="F318">
        <v>-0.25505097300000001</v>
      </c>
      <c r="G318">
        <v>0.25505097300000001</v>
      </c>
      <c r="H318">
        <v>3.6006907999999997E-2</v>
      </c>
      <c r="I318">
        <v>0.37074620699999999</v>
      </c>
    </row>
    <row r="319" spans="1:9">
      <c r="A319" t="s">
        <v>173</v>
      </c>
      <c r="B319" t="str">
        <f>VLOOKUP(A319,PW!A:C,2,0)</f>
        <v>p53 signaling pathway</v>
      </c>
      <c r="C319" t="str">
        <f t="shared" si="4"/>
        <v>TP53-&gt;ADGRB1</v>
      </c>
      <c r="D319" t="s">
        <v>315</v>
      </c>
      <c r="E319" t="s">
        <v>804</v>
      </c>
      <c r="F319">
        <v>0.73694996800000001</v>
      </c>
      <c r="G319">
        <v>0.73694996800000001</v>
      </c>
      <c r="H319">
        <v>3.6314411999999997E-2</v>
      </c>
      <c r="I319">
        <v>0.37253064600000002</v>
      </c>
    </row>
    <row r="320" spans="1:9">
      <c r="A320" t="s">
        <v>103</v>
      </c>
      <c r="B320" t="str">
        <f>VLOOKUP(A320,PW!A:C,2,0)</f>
        <v>Folate biosynthesis</v>
      </c>
      <c r="C320" t="str">
        <f t="shared" si="4"/>
        <v>GPHN-&gt;MOCOS</v>
      </c>
      <c r="D320" t="s">
        <v>773</v>
      </c>
      <c r="E320" t="s">
        <v>805</v>
      </c>
      <c r="F320">
        <v>-0.92372440099999997</v>
      </c>
      <c r="G320">
        <v>0.92372440099999997</v>
      </c>
      <c r="H320">
        <v>3.6408479000000001E-2</v>
      </c>
      <c r="I320">
        <v>0.37253064600000002</v>
      </c>
    </row>
    <row r="321" spans="1:9">
      <c r="A321" t="s">
        <v>95</v>
      </c>
      <c r="B321" t="str">
        <f>VLOOKUP(A321,PW!A:C,2,0)</f>
        <v>Fructose and mannose metabolism</v>
      </c>
      <c r="C321" t="str">
        <f t="shared" si="4"/>
        <v>GFUS-&gt;GMDS</v>
      </c>
      <c r="D321" t="s">
        <v>806</v>
      </c>
      <c r="E321" t="s">
        <v>807</v>
      </c>
      <c r="F321">
        <v>-7.6692789999999997E-2</v>
      </c>
      <c r="G321">
        <v>7.6692789999999997E-2</v>
      </c>
      <c r="H321">
        <v>3.6534575999999999E-2</v>
      </c>
      <c r="I321">
        <v>0.37265267600000002</v>
      </c>
    </row>
    <row r="322" spans="1:9">
      <c r="A322" t="s">
        <v>99</v>
      </c>
      <c r="B322" t="str">
        <f>VLOOKUP(A322,PW!A:C,2,0)</f>
        <v>Fatty acid degradation</v>
      </c>
      <c r="C322" t="str">
        <f t="shared" ref="C322:C385" si="5">D322&amp;"-&gt;"&amp;E322</f>
        <v>ACADM-&gt;ACAT1</v>
      </c>
      <c r="D322" t="s">
        <v>587</v>
      </c>
      <c r="E322" t="s">
        <v>467</v>
      </c>
      <c r="F322">
        <v>0.207158394</v>
      </c>
      <c r="G322">
        <v>0.207158394</v>
      </c>
      <c r="H322">
        <v>3.6716089E-2</v>
      </c>
      <c r="I322">
        <v>0.373337431</v>
      </c>
    </row>
    <row r="323" spans="1:9">
      <c r="A323" t="s">
        <v>121</v>
      </c>
      <c r="B323" t="str">
        <f>VLOOKUP(A323,PW!A:C,2,0)</f>
        <v>β-Alanine metabolism KEGG</v>
      </c>
      <c r="C323" t="str">
        <f t="shared" si="5"/>
        <v>ECHS1-&gt;HIBCH</v>
      </c>
      <c r="D323" t="s">
        <v>393</v>
      </c>
      <c r="E323" t="s">
        <v>808</v>
      </c>
      <c r="F323">
        <v>0.169854686</v>
      </c>
      <c r="G323">
        <v>0.169854686</v>
      </c>
      <c r="H323">
        <v>3.6853803999999997E-2</v>
      </c>
      <c r="I323">
        <v>0.37357396500000001</v>
      </c>
    </row>
    <row r="324" spans="1:9">
      <c r="A324" t="s">
        <v>147</v>
      </c>
      <c r="B324" t="str">
        <f>VLOOKUP(A324,PW!A:C,2,0)</f>
        <v>AGE‑RAGE signaling pathway in diabetic complications genome.jp</v>
      </c>
      <c r="C324" t="str">
        <f t="shared" si="5"/>
        <v>JUN-&gt;SERPINE1</v>
      </c>
      <c r="D324" t="s">
        <v>367</v>
      </c>
      <c r="E324" t="s">
        <v>809</v>
      </c>
      <c r="F324">
        <v>0.60948720700000003</v>
      </c>
      <c r="G324">
        <v>0.60948720700000003</v>
      </c>
      <c r="H324">
        <v>3.6997958999999997E-2</v>
      </c>
      <c r="I324">
        <v>0.37387411700000001</v>
      </c>
    </row>
    <row r="325" spans="1:9">
      <c r="A325" t="s">
        <v>190</v>
      </c>
      <c r="B325" t="str">
        <f>VLOOKUP(A325,PW!A:C,2,0)</f>
        <v>Thyroid hormone signaling pathway KEGG</v>
      </c>
      <c r="C325" t="str">
        <f t="shared" si="5"/>
        <v>THRA-&gt;NOTCH1</v>
      </c>
      <c r="D325" t="s">
        <v>810</v>
      </c>
      <c r="E325" t="s">
        <v>687</v>
      </c>
      <c r="F325">
        <v>0.48984329799999998</v>
      </c>
      <c r="G325">
        <v>0.48984329799999998</v>
      </c>
      <c r="H325">
        <v>3.7138595000000003E-2</v>
      </c>
      <c r="I325">
        <v>0.37413696000000002</v>
      </c>
    </row>
    <row r="326" spans="1:9">
      <c r="A326" t="s">
        <v>170</v>
      </c>
      <c r="B326" t="str">
        <f>VLOOKUP(A326,PW!A:C,2,0)</f>
        <v>One carbon pool by folate</v>
      </c>
      <c r="C326" t="str">
        <f t="shared" si="5"/>
        <v>MTR-&gt;MTHFR</v>
      </c>
      <c r="D326" t="s">
        <v>626</v>
      </c>
      <c r="E326" t="s">
        <v>796</v>
      </c>
      <c r="F326">
        <v>0.24676279700000001</v>
      </c>
      <c r="G326">
        <v>0.24676279700000001</v>
      </c>
      <c r="H326">
        <v>3.7864246999999997E-2</v>
      </c>
      <c r="I326">
        <v>0.377828461</v>
      </c>
    </row>
    <row r="327" spans="1:9">
      <c r="A327" t="s">
        <v>156</v>
      </c>
      <c r="B327" t="str">
        <f>VLOOKUP(A327,PW!A:C,2,0)</f>
        <v>Sphingolipid metabolism genome.jp</v>
      </c>
      <c r="C327" t="str">
        <f t="shared" si="5"/>
        <v>CERK-&gt;GBA1</v>
      </c>
      <c r="D327" t="s">
        <v>744</v>
      </c>
      <c r="E327" t="s">
        <v>437</v>
      </c>
      <c r="F327">
        <v>-0.698432622</v>
      </c>
      <c r="G327">
        <v>0.698432622</v>
      </c>
      <c r="H327">
        <v>3.8041693000000001E-2</v>
      </c>
      <c r="I327">
        <v>0.377828461</v>
      </c>
    </row>
    <row r="328" spans="1:9">
      <c r="A328" t="s">
        <v>170</v>
      </c>
      <c r="B328" t="str">
        <f>VLOOKUP(A328,PW!A:C,2,0)</f>
        <v>One carbon pool by folate</v>
      </c>
      <c r="C328" t="str">
        <f t="shared" si="5"/>
        <v>DHFR-&gt;TYMS</v>
      </c>
      <c r="D328" t="s">
        <v>811</v>
      </c>
      <c r="E328" t="s">
        <v>678</v>
      </c>
      <c r="F328">
        <v>-0.54342074900000004</v>
      </c>
      <c r="G328">
        <v>0.54342074900000004</v>
      </c>
      <c r="H328">
        <v>3.8062156999999999E-2</v>
      </c>
      <c r="I328">
        <v>0.377828461</v>
      </c>
    </row>
    <row r="329" spans="1:9">
      <c r="A329" t="s">
        <v>99</v>
      </c>
      <c r="B329" t="str">
        <f>VLOOKUP(A329,PW!A:C,2,0)</f>
        <v>Fatty acid degradation</v>
      </c>
      <c r="C329" t="str">
        <f t="shared" si="5"/>
        <v>ACADM-&gt;CPT2</v>
      </c>
      <c r="D329" t="s">
        <v>587</v>
      </c>
      <c r="E329" t="s">
        <v>614</v>
      </c>
      <c r="F329">
        <v>0.192696807</v>
      </c>
      <c r="G329">
        <v>0.192696807</v>
      </c>
      <c r="H329">
        <v>3.8189811999999997E-2</v>
      </c>
      <c r="I329">
        <v>0.377828461</v>
      </c>
    </row>
    <row r="330" spans="1:9">
      <c r="A330" t="s">
        <v>105</v>
      </c>
      <c r="B330" t="str">
        <f>VLOOKUP(A330,PW!A:C,2,0)</f>
        <v>Glycine, serine and threonine metabolism</v>
      </c>
      <c r="C330" t="str">
        <f t="shared" si="5"/>
        <v>GAMT-&gt;GATM</v>
      </c>
      <c r="D330" t="s">
        <v>524</v>
      </c>
      <c r="E330" t="s">
        <v>525</v>
      </c>
      <c r="F330">
        <v>0.29330761500000002</v>
      </c>
      <c r="G330">
        <v>0.29330761500000002</v>
      </c>
      <c r="H330">
        <v>3.8199569000000003E-2</v>
      </c>
      <c r="I330">
        <v>0.377828461</v>
      </c>
    </row>
    <row r="331" spans="1:9">
      <c r="A331" t="s">
        <v>113</v>
      </c>
      <c r="B331" t="str">
        <f>VLOOKUP(A331,PW!A:C,2,0)</f>
        <v>Arginine and proline metabolism</v>
      </c>
      <c r="C331" t="str">
        <f t="shared" si="5"/>
        <v>GAMT-&gt;GATM</v>
      </c>
      <c r="D331" t="s">
        <v>524</v>
      </c>
      <c r="E331" t="s">
        <v>525</v>
      </c>
      <c r="F331">
        <v>0.29330761500000002</v>
      </c>
      <c r="G331">
        <v>0.29330761500000002</v>
      </c>
      <c r="H331">
        <v>3.8199569000000003E-2</v>
      </c>
      <c r="I331">
        <v>0.377828461</v>
      </c>
    </row>
    <row r="332" spans="1:9">
      <c r="A332" t="s">
        <v>163</v>
      </c>
      <c r="B332" t="str">
        <f>VLOOKUP(A332,PW!A:C,2,0)</f>
        <v>Epstein‑Barr virus infection</v>
      </c>
      <c r="C332" t="str">
        <f t="shared" si="5"/>
        <v>JUN-&gt;ITGAL</v>
      </c>
      <c r="D332" t="s">
        <v>367</v>
      </c>
      <c r="E332" t="s">
        <v>802</v>
      </c>
      <c r="F332">
        <v>-0.15170816500000001</v>
      </c>
      <c r="G332">
        <v>0.15170816500000001</v>
      </c>
      <c r="H332">
        <v>3.8500758000000003E-2</v>
      </c>
      <c r="I332">
        <v>0.378150245</v>
      </c>
    </row>
    <row r="333" spans="1:9">
      <c r="A333" t="s">
        <v>102</v>
      </c>
      <c r="B333" t="str">
        <f>VLOOKUP(A333,PW!A:C,2,0)</f>
        <v>Pyrimidine metabolism</v>
      </c>
      <c r="C333" t="str">
        <f t="shared" si="5"/>
        <v>DUT-&gt;TK1</v>
      </c>
      <c r="D333" t="s">
        <v>497</v>
      </c>
      <c r="E333" t="s">
        <v>679</v>
      </c>
      <c r="F333">
        <v>0.75144815899999995</v>
      </c>
      <c r="G333">
        <v>0.75144815899999995</v>
      </c>
      <c r="H333">
        <v>3.8791944000000002E-2</v>
      </c>
      <c r="I333">
        <v>0.378150245</v>
      </c>
    </row>
    <row r="334" spans="1:9">
      <c r="A334" t="s">
        <v>104</v>
      </c>
      <c r="B334" t="str">
        <f>VLOOKUP(A334,PW!A:C,2,0)</f>
        <v>Alanine, aspartate and glutamate metabolism</v>
      </c>
      <c r="C334" t="str">
        <f t="shared" si="5"/>
        <v>RIMKLA-&gt;RIMKLA</v>
      </c>
      <c r="D334" t="s">
        <v>812</v>
      </c>
      <c r="E334" t="s">
        <v>812</v>
      </c>
      <c r="F334" s="1">
        <v>-2.3899999999999999E-16</v>
      </c>
      <c r="G334" s="1">
        <v>2.3890499999999998E-16</v>
      </c>
      <c r="H334">
        <v>3.8931169000000002E-2</v>
      </c>
      <c r="I334">
        <v>0.378150245</v>
      </c>
    </row>
    <row r="335" spans="1:9">
      <c r="A335" t="s">
        <v>235</v>
      </c>
      <c r="B335" t="str">
        <f>VLOOKUP(A335,PW!A:C,2,0)</f>
        <v>Glycosylphosphatidylinositol (GPI)‑anchor biosynthesis</v>
      </c>
      <c r="C335" t="str">
        <f t="shared" si="5"/>
        <v>PGAP1-&gt;PGAP3</v>
      </c>
      <c r="D335" t="s">
        <v>813</v>
      </c>
      <c r="E335" t="s">
        <v>814</v>
      </c>
      <c r="F335">
        <v>-0.32062211200000001</v>
      </c>
      <c r="G335">
        <v>0.32062211200000001</v>
      </c>
      <c r="H335">
        <v>3.8998256000000002E-2</v>
      </c>
      <c r="I335">
        <v>0.378150245</v>
      </c>
    </row>
    <row r="336" spans="1:9">
      <c r="A336" t="s">
        <v>230</v>
      </c>
      <c r="B336" t="str">
        <f>VLOOKUP(A336,PW!A:C,2,0)</f>
        <v>Histidine metabolism</v>
      </c>
      <c r="C336" t="str">
        <f t="shared" si="5"/>
        <v>HAL-&gt;CNDP2</v>
      </c>
      <c r="D336" t="s">
        <v>739</v>
      </c>
      <c r="E336" t="s">
        <v>382</v>
      </c>
      <c r="F336">
        <v>0.16342168500000001</v>
      </c>
      <c r="G336">
        <v>0.16342168500000001</v>
      </c>
      <c r="H336">
        <v>3.9088895999999998E-2</v>
      </c>
      <c r="I336">
        <v>0.378150245</v>
      </c>
    </row>
    <row r="337" spans="1:9">
      <c r="A337" t="s">
        <v>185</v>
      </c>
      <c r="B337" t="str">
        <f>VLOOKUP(A337,PW!A:C,2,0)</f>
        <v>Phosphatidylinositol signaling system</v>
      </c>
      <c r="C337" t="str">
        <f t="shared" si="5"/>
        <v>IMPA1-&gt;IMPA1</v>
      </c>
      <c r="D337" t="s">
        <v>408</v>
      </c>
      <c r="E337" t="s">
        <v>408</v>
      </c>
      <c r="F337" s="1">
        <v>6.0400000000000005E-17</v>
      </c>
      <c r="G337" s="1">
        <v>6.0429499999999994E-17</v>
      </c>
      <c r="H337">
        <v>3.9265791000000001E-2</v>
      </c>
      <c r="I337">
        <v>0.378150245</v>
      </c>
    </row>
    <row r="338" spans="1:9">
      <c r="A338" t="s">
        <v>156</v>
      </c>
      <c r="B338" t="str">
        <f>VLOOKUP(A338,PW!A:C,2,0)</f>
        <v>Sphingolipid metabolism genome.jp</v>
      </c>
      <c r="C338" t="str">
        <f t="shared" si="5"/>
        <v>UGT8-&gt;UGCG</v>
      </c>
      <c r="D338" t="s">
        <v>358</v>
      </c>
      <c r="E338" t="s">
        <v>620</v>
      </c>
      <c r="F338">
        <v>0.20135483500000001</v>
      </c>
      <c r="G338">
        <v>0.20135483500000001</v>
      </c>
      <c r="H338">
        <v>3.9602898999999997E-2</v>
      </c>
      <c r="I338">
        <v>0.378150245</v>
      </c>
    </row>
    <row r="339" spans="1:9">
      <c r="A339" t="s">
        <v>229</v>
      </c>
      <c r="B339" t="str">
        <f>VLOOKUP(A339,PW!A:C,2,0)</f>
        <v>Thyroid hormone synthesis</v>
      </c>
      <c r="C339" t="str">
        <f t="shared" si="5"/>
        <v>TTF2-&gt;TG</v>
      </c>
      <c r="D339" t="s">
        <v>815</v>
      </c>
      <c r="E339" t="s">
        <v>816</v>
      </c>
      <c r="F339">
        <v>0.766268536</v>
      </c>
      <c r="G339">
        <v>0.766268536</v>
      </c>
      <c r="H339">
        <v>3.9909187999999998E-2</v>
      </c>
      <c r="I339">
        <v>0.378150245</v>
      </c>
    </row>
    <row r="340" spans="1:9">
      <c r="A340" t="s">
        <v>165</v>
      </c>
      <c r="B340" t="str">
        <f>VLOOKUP(A340,PW!A:C,2,0)</f>
        <v>Glyoxylate and dicarboxylate metabolism KEGG</v>
      </c>
      <c r="C340" t="str">
        <f t="shared" si="5"/>
        <v>CS-&gt;MDH1</v>
      </c>
      <c r="D340" t="s">
        <v>466</v>
      </c>
      <c r="E340" t="s">
        <v>817</v>
      </c>
      <c r="F340">
        <v>-0.48567406000000002</v>
      </c>
      <c r="G340">
        <v>0.48567406000000002</v>
      </c>
      <c r="H340">
        <v>3.9912589999999998E-2</v>
      </c>
      <c r="I340">
        <v>0.378150245</v>
      </c>
    </row>
    <row r="341" spans="1:9">
      <c r="A341" t="s">
        <v>129</v>
      </c>
      <c r="B341" t="str">
        <f>VLOOKUP(A341,PW!A:C,2,0)</f>
        <v>IL‑17 signaling pathway</v>
      </c>
      <c r="C341" t="str">
        <f t="shared" si="5"/>
        <v>CEBPB-&gt;S100A9</v>
      </c>
      <c r="D341" t="s">
        <v>366</v>
      </c>
      <c r="E341" t="s">
        <v>724</v>
      </c>
      <c r="F341">
        <v>-0.21665822600000001</v>
      </c>
      <c r="G341">
        <v>0.21665822600000001</v>
      </c>
      <c r="H341">
        <v>4.0132705999999997E-2</v>
      </c>
      <c r="I341">
        <v>0.378150245</v>
      </c>
    </row>
    <row r="342" spans="1:9">
      <c r="A342" t="s">
        <v>143</v>
      </c>
      <c r="B342" t="str">
        <f>VLOOKUP(A342,PW!A:C,2,0)</f>
        <v>Th1 and Th2 cell differentiation</v>
      </c>
      <c r="C342" t="str">
        <f t="shared" si="5"/>
        <v>JUN-&gt;IFNG</v>
      </c>
      <c r="D342" t="s">
        <v>367</v>
      </c>
      <c r="E342" t="s">
        <v>374</v>
      </c>
      <c r="F342">
        <v>0.73238935599999999</v>
      </c>
      <c r="G342">
        <v>0.73238935599999999</v>
      </c>
      <c r="H342">
        <v>4.0164129999999999E-2</v>
      </c>
      <c r="I342">
        <v>0.378150245</v>
      </c>
    </row>
    <row r="343" spans="1:9">
      <c r="A343" t="s">
        <v>120</v>
      </c>
      <c r="B343" t="str">
        <f>VLOOKUP(A343,PW!A:C,2,0)</f>
        <v>Inflammatory bowel disease – Homo sapiens (human) KEGG</v>
      </c>
      <c r="C343" t="str">
        <f t="shared" si="5"/>
        <v>JUN-&gt;IFNG</v>
      </c>
      <c r="D343" t="s">
        <v>367</v>
      </c>
      <c r="E343" t="s">
        <v>374</v>
      </c>
      <c r="F343">
        <v>0.73238935599999999</v>
      </c>
      <c r="G343">
        <v>0.73238935599999999</v>
      </c>
      <c r="H343">
        <v>4.0164129999999999E-2</v>
      </c>
      <c r="I343">
        <v>0.378150245</v>
      </c>
    </row>
    <row r="344" spans="1:9">
      <c r="A344" t="s">
        <v>223</v>
      </c>
      <c r="B344" t="str">
        <f>VLOOKUP(A344,PW!A:C,2,0)</f>
        <v>Steroid biosynthesis</v>
      </c>
      <c r="C344" t="str">
        <f t="shared" si="5"/>
        <v>CEL-&gt;DHCR24</v>
      </c>
      <c r="D344" t="s">
        <v>611</v>
      </c>
      <c r="E344" t="s">
        <v>778</v>
      </c>
      <c r="F344">
        <v>0.184867793</v>
      </c>
      <c r="G344">
        <v>0.184867793</v>
      </c>
      <c r="H344">
        <v>4.0270006999999997E-2</v>
      </c>
      <c r="I344">
        <v>0.378150245</v>
      </c>
    </row>
    <row r="345" spans="1:9">
      <c r="A345" t="s">
        <v>101</v>
      </c>
      <c r="B345" t="str">
        <f>VLOOKUP(A345,PW!A:C,2,0)</f>
        <v>Purine metabolism</v>
      </c>
      <c r="C345" t="str">
        <f t="shared" si="5"/>
        <v>IMPDH1-&gt;HPRT1</v>
      </c>
      <c r="D345" t="s">
        <v>399</v>
      </c>
      <c r="E345" t="s">
        <v>398</v>
      </c>
      <c r="F345">
        <v>-0.136679787</v>
      </c>
      <c r="G345">
        <v>0.136679787</v>
      </c>
      <c r="H345">
        <v>4.0292358E-2</v>
      </c>
      <c r="I345">
        <v>0.378150245</v>
      </c>
    </row>
    <row r="346" spans="1:9">
      <c r="A346" t="s">
        <v>168</v>
      </c>
      <c r="B346" t="str">
        <f>VLOOKUP(A346,PW!A:C,2,0)</f>
        <v>Butanoate metabolism</v>
      </c>
      <c r="C346" t="str">
        <f t="shared" si="5"/>
        <v>HMGCL-&gt;ACAT1</v>
      </c>
      <c r="D346" t="s">
        <v>818</v>
      </c>
      <c r="E346" t="s">
        <v>467</v>
      </c>
      <c r="F346">
        <v>0.52294566300000001</v>
      </c>
      <c r="G346">
        <v>0.52294566300000001</v>
      </c>
      <c r="H346">
        <v>4.0333696000000002E-2</v>
      </c>
      <c r="I346">
        <v>0.378150245</v>
      </c>
    </row>
    <row r="347" spans="1:9">
      <c r="A347" t="s">
        <v>131</v>
      </c>
      <c r="B347" t="str">
        <f>VLOOKUP(A347,PW!A:C,2,0)</f>
        <v>Lipid and atherosclerosis – Homo sapiens (human) KEGG</v>
      </c>
      <c r="C347" t="str">
        <f t="shared" si="5"/>
        <v>DDIT3-&gt;ERO1A</v>
      </c>
      <c r="D347" t="s">
        <v>819</v>
      </c>
      <c r="E347" t="s">
        <v>820</v>
      </c>
      <c r="F347">
        <v>-0.25925073199999998</v>
      </c>
      <c r="G347">
        <v>0.25925073199999998</v>
      </c>
      <c r="H347">
        <v>4.0387604000000001E-2</v>
      </c>
      <c r="I347">
        <v>0.378150245</v>
      </c>
    </row>
    <row r="348" spans="1:9">
      <c r="A348" t="s">
        <v>101</v>
      </c>
      <c r="B348" t="str">
        <f>VLOOKUP(A348,PW!A:C,2,0)</f>
        <v>Purine metabolism</v>
      </c>
      <c r="C348" t="str">
        <f t="shared" si="5"/>
        <v>ATIC-&gt;ATIC</v>
      </c>
      <c r="D348" t="s">
        <v>550</v>
      </c>
      <c r="E348" t="s">
        <v>550</v>
      </c>
      <c r="F348" s="1">
        <v>2.82E-16</v>
      </c>
      <c r="G348" s="1">
        <v>2.82003E-16</v>
      </c>
      <c r="H348">
        <v>4.0442224999999998E-2</v>
      </c>
      <c r="I348">
        <v>0.378150245</v>
      </c>
    </row>
    <row r="349" spans="1:9">
      <c r="A349" t="s">
        <v>31</v>
      </c>
      <c r="B349" t="str">
        <f>VLOOKUP(A349,PW!A:C,2,0)</f>
        <v>Growth hormone synthesis, secretion and action KEGG</v>
      </c>
      <c r="C349" t="str">
        <f t="shared" si="5"/>
        <v>STAT1-&gt;IGF1</v>
      </c>
      <c r="D349" t="s">
        <v>308</v>
      </c>
      <c r="E349" t="s">
        <v>309</v>
      </c>
      <c r="F349">
        <v>-0.82984106599999996</v>
      </c>
      <c r="G349">
        <v>0.82984106599999996</v>
      </c>
      <c r="H349">
        <v>4.0742426999999998E-2</v>
      </c>
      <c r="I349">
        <v>0.378150245</v>
      </c>
    </row>
    <row r="350" spans="1:9">
      <c r="A350" t="s">
        <v>156</v>
      </c>
      <c r="B350" t="str">
        <f>VLOOKUP(A350,PW!A:C,2,0)</f>
        <v>Sphingolipid metabolism genome.jp</v>
      </c>
      <c r="C350" t="str">
        <f t="shared" si="5"/>
        <v>GALC-&gt;GBA1</v>
      </c>
      <c r="D350" t="s">
        <v>320</v>
      </c>
      <c r="E350" t="s">
        <v>437</v>
      </c>
      <c r="F350">
        <v>-0.57516108499999996</v>
      </c>
      <c r="G350">
        <v>0.57516108499999996</v>
      </c>
      <c r="H350">
        <v>4.0992280999999998E-2</v>
      </c>
      <c r="I350">
        <v>0.378150245</v>
      </c>
    </row>
    <row r="351" spans="1:9">
      <c r="A351" t="s">
        <v>153</v>
      </c>
      <c r="B351" t="str">
        <f>VLOOKUP(A351,PW!A:C,2,0)</f>
        <v>Arachidonic acid metabolism genome.jp</v>
      </c>
      <c r="C351" t="str">
        <f t="shared" si="5"/>
        <v>ALOX12-&gt;CYP2J2</v>
      </c>
      <c r="D351" t="s">
        <v>331</v>
      </c>
      <c r="E351" t="s">
        <v>821</v>
      </c>
      <c r="F351">
        <v>-0.33261179600000002</v>
      </c>
      <c r="G351">
        <v>0.33261179600000002</v>
      </c>
      <c r="H351">
        <v>4.1004922999999999E-2</v>
      </c>
      <c r="I351">
        <v>0.378150245</v>
      </c>
    </row>
    <row r="352" spans="1:9">
      <c r="A352" t="s">
        <v>98</v>
      </c>
      <c r="B352" t="str">
        <f>VLOOKUP(A352,PW!A:C,2,0)</f>
        <v>Fatty acid elongation</v>
      </c>
      <c r="C352" t="str">
        <f t="shared" si="5"/>
        <v>MECR-&gt;PPT1</v>
      </c>
      <c r="D352" t="s">
        <v>506</v>
      </c>
      <c r="E352" t="s">
        <v>507</v>
      </c>
      <c r="F352">
        <v>0.29830736400000002</v>
      </c>
      <c r="G352">
        <v>0.29830736400000002</v>
      </c>
      <c r="H352">
        <v>4.1087448999999998E-2</v>
      </c>
      <c r="I352">
        <v>0.378150245</v>
      </c>
    </row>
    <row r="353" spans="1:9">
      <c r="A353" t="s">
        <v>104</v>
      </c>
      <c r="B353" t="str">
        <f>VLOOKUP(A353,PW!A:C,2,0)</f>
        <v>Alanine, aspartate and glutamate metabolism</v>
      </c>
      <c r="C353" t="str">
        <f t="shared" si="5"/>
        <v>ALDH4A1-&gt;GLUL</v>
      </c>
      <c r="D353" t="s">
        <v>487</v>
      </c>
      <c r="E353" t="s">
        <v>491</v>
      </c>
      <c r="F353">
        <v>-0.23759312799999999</v>
      </c>
      <c r="G353">
        <v>0.23759312799999999</v>
      </c>
      <c r="H353">
        <v>4.1188996999999998E-2</v>
      </c>
      <c r="I353">
        <v>0.378150245</v>
      </c>
    </row>
    <row r="354" spans="1:9">
      <c r="A354" t="s">
        <v>166</v>
      </c>
      <c r="B354" t="str">
        <f>VLOOKUP(A354,PW!A:C,2,0)</f>
        <v>Propanoate metabolism</v>
      </c>
      <c r="C354" t="str">
        <f t="shared" si="5"/>
        <v>PCCA-&gt;ACSS3</v>
      </c>
      <c r="D354" t="s">
        <v>413</v>
      </c>
      <c r="E354" t="s">
        <v>657</v>
      </c>
      <c r="F354">
        <v>-0.51696206300000003</v>
      </c>
      <c r="G354">
        <v>0.51696206300000003</v>
      </c>
      <c r="H354">
        <v>4.1225494000000001E-2</v>
      </c>
      <c r="I354">
        <v>0.378150245</v>
      </c>
    </row>
    <row r="355" spans="1:9">
      <c r="A355" t="s">
        <v>173</v>
      </c>
      <c r="B355" t="str">
        <f>VLOOKUP(A355,PW!A:C,2,0)</f>
        <v>p53 signaling pathway</v>
      </c>
      <c r="C355" t="str">
        <f t="shared" si="5"/>
        <v>TP53-&gt;GTSE1</v>
      </c>
      <c r="D355" t="s">
        <v>315</v>
      </c>
      <c r="E355" t="s">
        <v>822</v>
      </c>
      <c r="F355">
        <v>0.69762538799999996</v>
      </c>
      <c r="G355">
        <v>0.69762538799999996</v>
      </c>
      <c r="H355">
        <v>4.1242414999999998E-2</v>
      </c>
      <c r="I355">
        <v>0.378150245</v>
      </c>
    </row>
    <row r="356" spans="1:9">
      <c r="A356" t="s">
        <v>240</v>
      </c>
      <c r="B356" t="str">
        <f>VLOOKUP(A356,PW!A:C,2,0)</f>
        <v>Chemical carcinogenesis</v>
      </c>
      <c r="C356" t="str">
        <f t="shared" si="5"/>
        <v>E2F1-&gt;CDC25A</v>
      </c>
      <c r="D356" t="s">
        <v>685</v>
      </c>
      <c r="E356" t="s">
        <v>823</v>
      </c>
      <c r="F356">
        <v>-0.43562298500000002</v>
      </c>
      <c r="G356">
        <v>0.43562298500000002</v>
      </c>
      <c r="H356">
        <v>4.1264106000000002E-2</v>
      </c>
      <c r="I356">
        <v>0.378150245</v>
      </c>
    </row>
    <row r="357" spans="1:9">
      <c r="A357" t="s">
        <v>102</v>
      </c>
      <c r="B357" t="str">
        <f>VLOOKUP(A357,PW!A:C,2,0)</f>
        <v>Pyrimidine metabolism</v>
      </c>
      <c r="C357" t="str">
        <f t="shared" si="5"/>
        <v>DCTD-&gt;DUT</v>
      </c>
      <c r="D357" t="s">
        <v>618</v>
      </c>
      <c r="E357" t="s">
        <v>497</v>
      </c>
      <c r="F357">
        <v>-0.317371664</v>
      </c>
      <c r="G357">
        <v>0.317371664</v>
      </c>
      <c r="H357">
        <v>4.1323508000000002E-2</v>
      </c>
      <c r="I357">
        <v>0.378150245</v>
      </c>
    </row>
    <row r="358" spans="1:9">
      <c r="A358" t="s">
        <v>208</v>
      </c>
      <c r="B358" t="str">
        <f>VLOOKUP(A358,PW!A:C,2,0)</f>
        <v>Breast cancer – Homo sapiens (human) KEGG</v>
      </c>
      <c r="C358" t="str">
        <f t="shared" si="5"/>
        <v>HEY1-&gt;CCND1</v>
      </c>
      <c r="D358" t="s">
        <v>824</v>
      </c>
      <c r="E358" t="s">
        <v>259</v>
      </c>
      <c r="F358">
        <v>0.18649983000000001</v>
      </c>
      <c r="G358">
        <v>0.18649983000000001</v>
      </c>
      <c r="H358">
        <v>4.1369621000000002E-2</v>
      </c>
      <c r="I358">
        <v>0.378150245</v>
      </c>
    </row>
    <row r="359" spans="1:9">
      <c r="A359" t="s">
        <v>115</v>
      </c>
      <c r="B359" t="str">
        <f>VLOOKUP(A359,PW!A:C,2,0)</f>
        <v>Tyrosine metabolism</v>
      </c>
      <c r="C359" t="str">
        <f t="shared" si="5"/>
        <v>FAH-&gt;FAHD1</v>
      </c>
      <c r="D359" t="s">
        <v>825</v>
      </c>
      <c r="E359" t="s">
        <v>826</v>
      </c>
      <c r="F359">
        <v>-0.30127928300000001</v>
      </c>
      <c r="G359">
        <v>0.30127928300000001</v>
      </c>
      <c r="H359">
        <v>4.1922202999999998E-2</v>
      </c>
      <c r="I359">
        <v>0.378150245</v>
      </c>
    </row>
    <row r="360" spans="1:9">
      <c r="A360" t="s">
        <v>149</v>
      </c>
      <c r="B360" t="str">
        <f>VLOOKUP(A360,PW!A:C,2,0)</f>
        <v>Glycerophospholipid metabolism KEGG</v>
      </c>
      <c r="C360" t="str">
        <f t="shared" si="5"/>
        <v>PTDSS2-&gt;CEPT1</v>
      </c>
      <c r="D360" t="s">
        <v>541</v>
      </c>
      <c r="E360" t="s">
        <v>295</v>
      </c>
      <c r="F360">
        <v>-0.17604135000000001</v>
      </c>
      <c r="G360">
        <v>0.17604135000000001</v>
      </c>
      <c r="H360">
        <v>4.1970238999999999E-2</v>
      </c>
      <c r="I360">
        <v>0.378150245</v>
      </c>
    </row>
    <row r="361" spans="1:9">
      <c r="A361" t="s">
        <v>170</v>
      </c>
      <c r="B361" t="str">
        <f>VLOOKUP(A361,PW!A:C,2,0)</f>
        <v>One carbon pool by folate</v>
      </c>
      <c r="C361" t="str">
        <f t="shared" si="5"/>
        <v>SARDH-&gt;MTHFR</v>
      </c>
      <c r="D361" t="s">
        <v>737</v>
      </c>
      <c r="E361" t="s">
        <v>796</v>
      </c>
      <c r="F361">
        <v>7.4204666000000002E-2</v>
      </c>
      <c r="G361">
        <v>7.4204666000000002E-2</v>
      </c>
      <c r="H361">
        <v>4.2011969000000003E-2</v>
      </c>
      <c r="I361">
        <v>0.378150245</v>
      </c>
    </row>
    <row r="362" spans="1:9">
      <c r="A362" t="s">
        <v>101</v>
      </c>
      <c r="B362" t="str">
        <f>VLOOKUP(A362,PW!A:C,2,0)</f>
        <v>Purine metabolism</v>
      </c>
      <c r="C362" t="str">
        <f t="shared" si="5"/>
        <v>GMPS-&gt;GMPR</v>
      </c>
      <c r="D362" t="s">
        <v>555</v>
      </c>
      <c r="E362" t="s">
        <v>827</v>
      </c>
      <c r="F362">
        <v>1.3655796979999999</v>
      </c>
      <c r="G362">
        <v>1.3655796979999999</v>
      </c>
      <c r="H362">
        <v>4.2092486999999998E-2</v>
      </c>
      <c r="I362">
        <v>0.378150245</v>
      </c>
    </row>
    <row r="363" spans="1:9">
      <c r="A363" t="s">
        <v>126</v>
      </c>
      <c r="B363" t="str">
        <f>VLOOKUP(A363,PW!A:C,2,0)</f>
        <v>Glutathione metabolism KEGG</v>
      </c>
      <c r="C363" t="str">
        <f t="shared" si="5"/>
        <v>GSS-&gt;ANPEP</v>
      </c>
      <c r="D363" t="s">
        <v>417</v>
      </c>
      <c r="E363" t="s">
        <v>668</v>
      </c>
      <c r="F363">
        <v>0.52429124199999999</v>
      </c>
      <c r="G363">
        <v>0.52429124199999999</v>
      </c>
      <c r="H363">
        <v>4.2173594000000002E-2</v>
      </c>
      <c r="I363">
        <v>0.378150245</v>
      </c>
    </row>
    <row r="364" spans="1:9">
      <c r="A364" t="s">
        <v>94</v>
      </c>
      <c r="B364" t="str">
        <f>VLOOKUP(A364,PW!A:C,2,0)</f>
        <v>Pentose phosphate pathway</v>
      </c>
      <c r="C364" t="str">
        <f t="shared" si="5"/>
        <v>PGLS-&gt;IDNK</v>
      </c>
      <c r="D364" t="s">
        <v>396</v>
      </c>
      <c r="E364" t="s">
        <v>436</v>
      </c>
      <c r="F364">
        <v>-0.40319273100000003</v>
      </c>
      <c r="G364">
        <v>0.40319273100000003</v>
      </c>
      <c r="H364">
        <v>4.2286837000000001E-2</v>
      </c>
      <c r="I364">
        <v>0.378150245</v>
      </c>
    </row>
    <row r="365" spans="1:9">
      <c r="A365" t="s">
        <v>92</v>
      </c>
      <c r="B365" t="str">
        <f>VLOOKUP(A365,PW!A:C,2,0)</f>
        <v>Glycolysis / Gluconeogenesis</v>
      </c>
      <c r="C365" t="str">
        <f t="shared" si="5"/>
        <v>ALDH2-&gt;AKR1A1</v>
      </c>
      <c r="D365" t="s">
        <v>299</v>
      </c>
      <c r="E365" t="s">
        <v>828</v>
      </c>
      <c r="F365">
        <v>-0.153205379</v>
      </c>
      <c r="G365">
        <v>0.153205379</v>
      </c>
      <c r="H365">
        <v>4.2402876999999999E-2</v>
      </c>
      <c r="I365">
        <v>0.378150245</v>
      </c>
    </row>
    <row r="366" spans="1:9">
      <c r="A366" t="s">
        <v>146</v>
      </c>
      <c r="B366" t="str">
        <f>VLOOKUP(A366,PW!A:C,2,0)</f>
        <v>Glycerolipid metabolism genome.jp</v>
      </c>
      <c r="C366" t="str">
        <f t="shared" si="5"/>
        <v>ALDH2-&gt;AKR1A1</v>
      </c>
      <c r="D366" t="s">
        <v>299</v>
      </c>
      <c r="E366" t="s">
        <v>828</v>
      </c>
      <c r="F366">
        <v>-0.153205379</v>
      </c>
      <c r="G366">
        <v>0.153205379</v>
      </c>
      <c r="H366">
        <v>4.2402876999999999E-2</v>
      </c>
      <c r="I366">
        <v>0.378150245</v>
      </c>
    </row>
    <row r="367" spans="1:9">
      <c r="A367" t="s">
        <v>164</v>
      </c>
      <c r="B367" t="str">
        <f>VLOOKUP(A367,PW!A:C,2,0)</f>
        <v>Pyruvate metabolism KEGG</v>
      </c>
      <c r="C367" t="str">
        <f t="shared" si="5"/>
        <v>ALDH2-&gt;AKR1A1</v>
      </c>
      <c r="D367" t="s">
        <v>299</v>
      </c>
      <c r="E367" t="s">
        <v>828</v>
      </c>
      <c r="F367">
        <v>-0.153205379</v>
      </c>
      <c r="G367">
        <v>0.153205379</v>
      </c>
      <c r="H367">
        <v>4.2402876999999999E-2</v>
      </c>
      <c r="I367">
        <v>0.378150245</v>
      </c>
    </row>
    <row r="368" spans="1:9">
      <c r="A368" t="s">
        <v>104</v>
      </c>
      <c r="B368" t="str">
        <f>VLOOKUP(A368,PW!A:C,2,0)</f>
        <v>Alanine, aspartate and glutamate metabolism</v>
      </c>
      <c r="C368" t="str">
        <f t="shared" si="5"/>
        <v>PPAT-&gt;GFPT1</v>
      </c>
      <c r="D368" t="s">
        <v>572</v>
      </c>
      <c r="E368" t="s">
        <v>622</v>
      </c>
      <c r="F368">
        <v>0.112753784</v>
      </c>
      <c r="G368">
        <v>0.112753784</v>
      </c>
      <c r="H368">
        <v>4.2660036999999998E-2</v>
      </c>
      <c r="I368">
        <v>0.37881395600000001</v>
      </c>
    </row>
    <row r="369" spans="1:9">
      <c r="A369" t="s">
        <v>126</v>
      </c>
      <c r="B369" t="str">
        <f>VLOOKUP(A369,PW!A:C,2,0)</f>
        <v>Glutathione metabolism KEGG</v>
      </c>
      <c r="C369" t="str">
        <f t="shared" si="5"/>
        <v>LANCL1-&gt;GPX4</v>
      </c>
      <c r="D369" t="s">
        <v>405</v>
      </c>
      <c r="E369" t="s">
        <v>365</v>
      </c>
      <c r="F369">
        <v>-0.42017234399999998</v>
      </c>
      <c r="G369">
        <v>0.42017234399999998</v>
      </c>
      <c r="H369">
        <v>4.2796911999999999E-2</v>
      </c>
      <c r="I369">
        <v>0.37881395600000001</v>
      </c>
    </row>
    <row r="370" spans="1:9">
      <c r="A370" t="s">
        <v>153</v>
      </c>
      <c r="B370" t="str">
        <f>VLOOKUP(A370,PW!A:C,2,0)</f>
        <v>Arachidonic acid metabolism genome.jp</v>
      </c>
      <c r="C370" t="str">
        <f t="shared" si="5"/>
        <v>PTGS1-&gt;HPGDS</v>
      </c>
      <c r="D370" t="s">
        <v>637</v>
      </c>
      <c r="E370" t="s">
        <v>292</v>
      </c>
      <c r="F370">
        <v>-0.519782521</v>
      </c>
      <c r="G370">
        <v>0.519782521</v>
      </c>
      <c r="H370">
        <v>4.2881352999999997E-2</v>
      </c>
      <c r="I370">
        <v>0.37881395600000001</v>
      </c>
    </row>
    <row r="371" spans="1:9">
      <c r="A371" t="s">
        <v>96</v>
      </c>
      <c r="B371" t="str">
        <f>VLOOKUP(A371,PW!A:C,2,0)</f>
        <v>Galactose metabolism</v>
      </c>
      <c r="C371" t="str">
        <f t="shared" si="5"/>
        <v>B4GALT1-&gt;GALE</v>
      </c>
      <c r="D371" t="s">
        <v>278</v>
      </c>
      <c r="E371" t="s">
        <v>829</v>
      </c>
      <c r="F371">
        <v>-0.254314121</v>
      </c>
      <c r="G371">
        <v>0.254314121</v>
      </c>
      <c r="H371">
        <v>4.2993205999999999E-2</v>
      </c>
      <c r="I371">
        <v>0.37881395600000001</v>
      </c>
    </row>
    <row r="372" spans="1:9">
      <c r="A372" t="s">
        <v>107</v>
      </c>
      <c r="B372" t="str">
        <f>VLOOKUP(A372,PW!A:C,2,0)</f>
        <v>Cysteine and methionine metabolism</v>
      </c>
      <c r="C372" t="str">
        <f t="shared" si="5"/>
        <v>KYAT3-&gt;CTH</v>
      </c>
      <c r="D372" t="s">
        <v>481</v>
      </c>
      <c r="E372" t="s">
        <v>564</v>
      </c>
      <c r="F372">
        <v>1.23523439</v>
      </c>
      <c r="G372">
        <v>1.23523439</v>
      </c>
      <c r="H372">
        <v>4.3261853000000003E-2</v>
      </c>
      <c r="I372">
        <v>0.37881395600000001</v>
      </c>
    </row>
    <row r="373" spans="1:9">
      <c r="A373" t="s">
        <v>124</v>
      </c>
      <c r="B373" t="str">
        <f>VLOOKUP(A373,PW!A:C,2,0)</f>
        <v>Selenocompound metabolism genome.jp</v>
      </c>
      <c r="C373" t="str">
        <f t="shared" si="5"/>
        <v>KYAT3-&gt;CTH</v>
      </c>
      <c r="D373" t="s">
        <v>481</v>
      </c>
      <c r="E373" t="s">
        <v>564</v>
      </c>
      <c r="F373">
        <v>1.23523439</v>
      </c>
      <c r="G373">
        <v>1.23523439</v>
      </c>
      <c r="H373">
        <v>4.3261853000000003E-2</v>
      </c>
      <c r="I373">
        <v>0.37881395600000001</v>
      </c>
    </row>
    <row r="374" spans="1:9">
      <c r="A374" t="s">
        <v>138</v>
      </c>
      <c r="B374" t="str">
        <f>VLOOKUP(A374,PW!A:C,2,0)</f>
        <v>Amino sugar and nucleotide sugar metabolism KEGG</v>
      </c>
      <c r="C374" t="str">
        <f t="shared" si="5"/>
        <v>GFPT1-&gt;MPI</v>
      </c>
      <c r="D374" t="s">
        <v>622</v>
      </c>
      <c r="E374" t="s">
        <v>830</v>
      </c>
      <c r="F374">
        <v>-0.44215036800000002</v>
      </c>
      <c r="G374">
        <v>0.44215036800000002</v>
      </c>
      <c r="H374">
        <v>4.3382574E-2</v>
      </c>
      <c r="I374">
        <v>0.37881395600000001</v>
      </c>
    </row>
    <row r="375" spans="1:9">
      <c r="A375" t="s">
        <v>102</v>
      </c>
      <c r="B375" t="str">
        <f>VLOOKUP(A375,PW!A:C,2,0)</f>
        <v>Pyrimidine metabolism</v>
      </c>
      <c r="C375" t="str">
        <f t="shared" si="5"/>
        <v>DTYMK-&gt;TYMS</v>
      </c>
      <c r="D375" t="s">
        <v>286</v>
      </c>
      <c r="E375" t="s">
        <v>678</v>
      </c>
      <c r="F375">
        <v>0.68394026600000002</v>
      </c>
      <c r="G375">
        <v>0.68394026600000002</v>
      </c>
      <c r="H375">
        <v>4.3443287999999997E-2</v>
      </c>
      <c r="I375">
        <v>0.37881395600000001</v>
      </c>
    </row>
    <row r="376" spans="1:9">
      <c r="A376" t="s">
        <v>99</v>
      </c>
      <c r="B376" t="str">
        <f>VLOOKUP(A376,PW!A:C,2,0)</f>
        <v>Fatty acid degradation</v>
      </c>
      <c r="C376" t="str">
        <f t="shared" si="5"/>
        <v>ECHS1-&gt;ACADSB</v>
      </c>
      <c r="D376" t="s">
        <v>393</v>
      </c>
      <c r="E376" t="s">
        <v>831</v>
      </c>
      <c r="F376">
        <v>-0.207839941</v>
      </c>
      <c r="G376">
        <v>0.207839941</v>
      </c>
      <c r="H376">
        <v>4.3637882000000003E-2</v>
      </c>
      <c r="I376">
        <v>0.37881395600000001</v>
      </c>
    </row>
    <row r="377" spans="1:9">
      <c r="A377" t="s">
        <v>109</v>
      </c>
      <c r="B377" t="str">
        <f>VLOOKUP(A377,PW!A:C,2,0)</f>
        <v>Valine, leucine and isoleucine degradation</v>
      </c>
      <c r="C377" t="str">
        <f t="shared" si="5"/>
        <v>ECHS1-&gt;ACADSB</v>
      </c>
      <c r="D377" t="s">
        <v>393</v>
      </c>
      <c r="E377" t="s">
        <v>831</v>
      </c>
      <c r="F377">
        <v>-0.207839941</v>
      </c>
      <c r="G377">
        <v>0.207839941</v>
      </c>
      <c r="H377">
        <v>4.3637882000000003E-2</v>
      </c>
      <c r="I377">
        <v>0.37881395600000001</v>
      </c>
    </row>
    <row r="378" spans="1:9">
      <c r="A378" t="s">
        <v>40</v>
      </c>
      <c r="B378" t="str">
        <f>VLOOKUP(A378,PW!A:C,2,0)</f>
        <v>Toll‑like receptor signaling pathway</v>
      </c>
      <c r="C378" t="str">
        <f t="shared" si="5"/>
        <v>IRF3-&gt;CD80</v>
      </c>
      <c r="D378" t="s">
        <v>338</v>
      </c>
      <c r="E378" t="s">
        <v>832</v>
      </c>
      <c r="F378">
        <v>-1.023983841</v>
      </c>
      <c r="G378">
        <v>1.023983841</v>
      </c>
      <c r="H378">
        <v>4.4034375000000001E-2</v>
      </c>
      <c r="I378">
        <v>0.38124190800000002</v>
      </c>
    </row>
    <row r="379" spans="1:9">
      <c r="A379" t="s">
        <v>144</v>
      </c>
      <c r="B379" t="str">
        <f>VLOOKUP(A379,PW!A:C,2,0)</f>
        <v>Biosynthesis of various nucleotide sugars KEGG</v>
      </c>
      <c r="C379" t="str">
        <f t="shared" si="5"/>
        <v>GMDS-&gt;GFUS</v>
      </c>
      <c r="D379" t="s">
        <v>807</v>
      </c>
      <c r="E379" t="s">
        <v>806</v>
      </c>
      <c r="F379">
        <v>-1.1869192070000001</v>
      </c>
      <c r="G379">
        <v>1.1869192070000001</v>
      </c>
      <c r="H379">
        <v>4.4591129E-2</v>
      </c>
      <c r="I379">
        <v>0.38295622699999998</v>
      </c>
    </row>
    <row r="380" spans="1:9">
      <c r="A380" t="s">
        <v>182</v>
      </c>
      <c r="B380" t="str">
        <f>VLOOKUP(A380,PW!A:C,2,0)</f>
        <v>Metabolism of xenobiotics by cytochrome P450</v>
      </c>
      <c r="C380" t="str">
        <f t="shared" si="5"/>
        <v>CYP1B1-&gt;EPHX1</v>
      </c>
      <c r="D380" t="s">
        <v>373</v>
      </c>
      <c r="E380" t="s">
        <v>581</v>
      </c>
      <c r="F380">
        <v>0.295270492</v>
      </c>
      <c r="G380">
        <v>0.295270492</v>
      </c>
      <c r="H380">
        <v>4.4603911000000003E-2</v>
      </c>
      <c r="I380">
        <v>0.38295622699999998</v>
      </c>
    </row>
    <row r="381" spans="1:9">
      <c r="A381" t="s">
        <v>176</v>
      </c>
      <c r="B381" t="str">
        <f>VLOOKUP(A381,PW!A:C,2,0)</f>
        <v>Colorectal cancer</v>
      </c>
      <c r="C381" t="str">
        <f t="shared" si="5"/>
        <v>CYP1B1-&gt;EPHX1</v>
      </c>
      <c r="D381" t="s">
        <v>373</v>
      </c>
      <c r="E381" t="s">
        <v>581</v>
      </c>
      <c r="F381">
        <v>0.295270492</v>
      </c>
      <c r="G381">
        <v>0.295270492</v>
      </c>
      <c r="H381">
        <v>4.4603911000000003E-2</v>
      </c>
      <c r="I381">
        <v>0.38295622699999998</v>
      </c>
    </row>
    <row r="382" spans="1:9">
      <c r="A382" t="s">
        <v>223</v>
      </c>
      <c r="B382" t="str">
        <f>VLOOKUP(A382,PW!A:C,2,0)</f>
        <v>Steroid biosynthesis</v>
      </c>
      <c r="C382" t="str">
        <f t="shared" si="5"/>
        <v>CYP27B1-&gt;CYP2R1</v>
      </c>
      <c r="D382" t="s">
        <v>833</v>
      </c>
      <c r="E382" t="s">
        <v>834</v>
      </c>
      <c r="F382">
        <v>7.6714520999999994E-2</v>
      </c>
      <c r="G382">
        <v>7.6714520999999994E-2</v>
      </c>
      <c r="H382">
        <v>4.4703346999999997E-2</v>
      </c>
      <c r="I382">
        <v>0.38295622699999998</v>
      </c>
    </row>
    <row r="383" spans="1:9">
      <c r="A383" t="s">
        <v>237</v>
      </c>
      <c r="B383" t="str">
        <f>VLOOKUP(A383,PW!A:C,2,0)</f>
        <v>Tight junction</v>
      </c>
      <c r="C383" t="str">
        <f t="shared" si="5"/>
        <v>JUN-&gt;CD1A</v>
      </c>
      <c r="D383" t="s">
        <v>367</v>
      </c>
      <c r="E383" t="s">
        <v>835</v>
      </c>
      <c r="F383">
        <v>0.55781628000000005</v>
      </c>
      <c r="G383">
        <v>0.55781628000000005</v>
      </c>
      <c r="H383">
        <v>4.4858611999999999E-2</v>
      </c>
      <c r="I383">
        <v>0.38295622699999998</v>
      </c>
    </row>
    <row r="384" spans="1:9">
      <c r="A384" t="s">
        <v>102</v>
      </c>
      <c r="B384" t="str">
        <f>VLOOKUP(A384,PW!A:C,2,0)</f>
        <v>Pyrimidine metabolism</v>
      </c>
      <c r="C384" t="str">
        <f t="shared" si="5"/>
        <v>DCTD-&gt;TK1</v>
      </c>
      <c r="D384" t="s">
        <v>618</v>
      </c>
      <c r="E384" t="s">
        <v>679</v>
      </c>
      <c r="F384">
        <v>0.874905563</v>
      </c>
      <c r="G384">
        <v>0.874905563</v>
      </c>
      <c r="H384">
        <v>4.5019733999999999E-2</v>
      </c>
      <c r="I384">
        <v>0.38295622699999998</v>
      </c>
    </row>
    <row r="385" spans="1:9">
      <c r="A385" t="s">
        <v>161</v>
      </c>
      <c r="B385" t="str">
        <f>VLOOKUP(A385,PW!A:C,2,0)</f>
        <v>Human T‑cell leukemia virus 1 infection</v>
      </c>
      <c r="C385" t="str">
        <f t="shared" si="5"/>
        <v>NFKB1-&gt;IL15</v>
      </c>
      <c r="D385" t="s">
        <v>272</v>
      </c>
      <c r="E385" t="s">
        <v>836</v>
      </c>
      <c r="F385">
        <v>0.53829828199999996</v>
      </c>
      <c r="G385">
        <v>0.53829828199999996</v>
      </c>
      <c r="H385">
        <v>4.5100711000000002E-2</v>
      </c>
      <c r="I385">
        <v>0.38295622699999998</v>
      </c>
    </row>
    <row r="386" spans="1:9">
      <c r="A386" t="s">
        <v>109</v>
      </c>
      <c r="B386" t="str">
        <f>VLOOKUP(A386,PW!A:C,2,0)</f>
        <v>Valine, leucine and isoleucine degradation</v>
      </c>
      <c r="C386" t="str">
        <f t="shared" ref="C386:C410" si="6">D386&amp;"-&gt;"&amp;E386</f>
        <v>HIBCH-&gt;ECHS1</v>
      </c>
      <c r="D386" t="s">
        <v>808</v>
      </c>
      <c r="E386" t="s">
        <v>393</v>
      </c>
      <c r="F386">
        <v>0.52650952600000001</v>
      </c>
      <c r="G386">
        <v>0.52650952600000001</v>
      </c>
      <c r="H386">
        <v>4.5525264000000003E-2</v>
      </c>
      <c r="I386">
        <v>0.38295622699999998</v>
      </c>
    </row>
    <row r="387" spans="1:9">
      <c r="A387" t="s">
        <v>166</v>
      </c>
      <c r="B387" t="str">
        <f>VLOOKUP(A387,PW!A:C,2,0)</f>
        <v>Propanoate metabolism</v>
      </c>
      <c r="C387" t="str">
        <f t="shared" si="6"/>
        <v>HIBCH-&gt;ECHS1</v>
      </c>
      <c r="D387" t="s">
        <v>808</v>
      </c>
      <c r="E387" t="s">
        <v>393</v>
      </c>
      <c r="F387">
        <v>0.52650952600000001</v>
      </c>
      <c r="G387">
        <v>0.52650952600000001</v>
      </c>
      <c r="H387">
        <v>4.5525264000000003E-2</v>
      </c>
      <c r="I387">
        <v>0.38295622699999998</v>
      </c>
    </row>
    <row r="388" spans="1:9">
      <c r="A388" t="s">
        <v>158</v>
      </c>
      <c r="B388" t="str">
        <f>VLOOKUP(A388,PW!A:C,2,0)</f>
        <v>Glycosphingolipid biosynthesis – lacto &amp; neolacto series genome.jp</v>
      </c>
      <c r="C388" t="str">
        <f t="shared" si="6"/>
        <v>B4GALT4-&gt;GCNT2</v>
      </c>
      <c r="D388" t="s">
        <v>433</v>
      </c>
      <c r="E388" t="s">
        <v>434</v>
      </c>
      <c r="F388">
        <v>-0.45162329299999998</v>
      </c>
      <c r="G388">
        <v>0.45162329299999998</v>
      </c>
      <c r="H388">
        <v>4.5771404000000002E-2</v>
      </c>
      <c r="I388">
        <v>0.38295622699999998</v>
      </c>
    </row>
    <row r="389" spans="1:9">
      <c r="A389" t="s">
        <v>158</v>
      </c>
      <c r="B389" t="str">
        <f>VLOOKUP(A389,PW!A:C,2,0)</f>
        <v>Glycosphingolipid biosynthesis – lacto &amp; neolacto series genome.jp</v>
      </c>
      <c r="C389" t="str">
        <f t="shared" si="6"/>
        <v>B4GALT2-&gt;B3GALT2</v>
      </c>
      <c r="D389" t="s">
        <v>612</v>
      </c>
      <c r="E389" t="s">
        <v>279</v>
      </c>
      <c r="F389">
        <v>0.45752219999999999</v>
      </c>
      <c r="G389">
        <v>0.45752219999999999</v>
      </c>
      <c r="H389">
        <v>4.5807689999999998E-2</v>
      </c>
      <c r="I389">
        <v>0.38295622699999998</v>
      </c>
    </row>
    <row r="390" spans="1:9">
      <c r="A390" t="s">
        <v>130</v>
      </c>
      <c r="B390" t="str">
        <f>VLOOKUP(A390,PW!A:C,2,0)</f>
        <v>N‑Glycan biosynthesis KEGG</v>
      </c>
      <c r="C390" t="str">
        <f t="shared" si="6"/>
        <v>GANAB-&gt;MAN1B1</v>
      </c>
      <c r="D390" t="s">
        <v>837</v>
      </c>
      <c r="E390" t="s">
        <v>838</v>
      </c>
      <c r="F390">
        <v>-0.31623473000000002</v>
      </c>
      <c r="G390">
        <v>0.31623473000000002</v>
      </c>
      <c r="H390">
        <v>4.5957805999999997E-2</v>
      </c>
      <c r="I390">
        <v>0.38295622699999998</v>
      </c>
    </row>
    <row r="391" spans="1:9">
      <c r="A391" t="s">
        <v>203</v>
      </c>
      <c r="B391" t="str">
        <f>VLOOKUP(A391,PW!A:C,2,0)</f>
        <v>African trypanosomiasis</v>
      </c>
      <c r="C391" t="str">
        <f t="shared" si="6"/>
        <v>TNF-&gt;ICAM1</v>
      </c>
      <c r="D391" t="s">
        <v>478</v>
      </c>
      <c r="E391" t="s">
        <v>474</v>
      </c>
      <c r="F391">
        <v>-0.320187314</v>
      </c>
      <c r="G391">
        <v>0.320187314</v>
      </c>
      <c r="H391">
        <v>4.5993020000000003E-2</v>
      </c>
      <c r="I391">
        <v>0.38295622699999998</v>
      </c>
    </row>
    <row r="392" spans="1:9">
      <c r="A392" t="s">
        <v>171</v>
      </c>
      <c r="B392" t="str">
        <f>VLOOKUP(A392,PW!A:C,2,0)</f>
        <v>Apoptosis</v>
      </c>
      <c r="C392" t="str">
        <f t="shared" si="6"/>
        <v>MAPK1-&gt;BCL2</v>
      </c>
      <c r="D392" t="s">
        <v>337</v>
      </c>
      <c r="E392" t="s">
        <v>369</v>
      </c>
      <c r="F392">
        <v>0.28793245899999997</v>
      </c>
      <c r="G392">
        <v>0.28793245899999997</v>
      </c>
      <c r="H392">
        <v>4.6070110999999997E-2</v>
      </c>
      <c r="I392">
        <v>0.38295622699999998</v>
      </c>
    </row>
    <row r="393" spans="1:9">
      <c r="A393" t="s">
        <v>147</v>
      </c>
      <c r="B393" t="str">
        <f>VLOOKUP(A393,PW!A:C,2,0)</f>
        <v>AGE‑RAGE signaling pathway in diabetic complications genome.jp</v>
      </c>
      <c r="C393" t="str">
        <f t="shared" si="6"/>
        <v>JUN-&gt;CCL2</v>
      </c>
      <c r="D393" t="s">
        <v>367</v>
      </c>
      <c r="E393" t="s">
        <v>839</v>
      </c>
      <c r="F393">
        <v>0.90339529900000004</v>
      </c>
      <c r="G393">
        <v>0.90339529900000004</v>
      </c>
      <c r="H393">
        <v>4.619011E-2</v>
      </c>
      <c r="I393">
        <v>0.38295622699999998</v>
      </c>
    </row>
    <row r="394" spans="1:9">
      <c r="A394" t="s">
        <v>239</v>
      </c>
      <c r="B394" t="str">
        <f>VLOOKUP(A394,PW!A:C,2,0)</f>
        <v>Biotin metabolism</v>
      </c>
      <c r="C394" t="str">
        <f t="shared" si="6"/>
        <v>HLCS-&gt;HLCS</v>
      </c>
      <c r="D394" t="s">
        <v>840</v>
      </c>
      <c r="E394" t="s">
        <v>840</v>
      </c>
      <c r="F394" s="1">
        <v>-5.3899999999999998E-17</v>
      </c>
      <c r="G394" s="1">
        <v>5.3916299999999997E-17</v>
      </c>
      <c r="H394">
        <v>4.6198452000000001E-2</v>
      </c>
      <c r="I394">
        <v>0.38295622699999998</v>
      </c>
    </row>
    <row r="395" spans="1:9">
      <c r="A395" t="s">
        <v>170</v>
      </c>
      <c r="B395" t="str">
        <f>VLOOKUP(A395,PW!A:C,2,0)</f>
        <v>One carbon pool by folate</v>
      </c>
      <c r="C395" t="str">
        <f t="shared" si="6"/>
        <v>GART-&gt;MTR</v>
      </c>
      <c r="D395" t="s">
        <v>677</v>
      </c>
      <c r="E395" t="s">
        <v>626</v>
      </c>
      <c r="F395">
        <v>-0.25207735999999997</v>
      </c>
      <c r="G395">
        <v>0.25207735999999997</v>
      </c>
      <c r="H395">
        <v>4.6226946999999997E-2</v>
      </c>
      <c r="I395">
        <v>0.38295622699999998</v>
      </c>
    </row>
    <row r="396" spans="1:9">
      <c r="A396" t="s">
        <v>96</v>
      </c>
      <c r="B396" t="str">
        <f>VLOOKUP(A396,PW!A:C,2,0)</f>
        <v>Galactose metabolism</v>
      </c>
      <c r="C396" t="str">
        <f t="shared" si="6"/>
        <v>GALM-&gt;AKR1B1</v>
      </c>
      <c r="D396" t="s">
        <v>650</v>
      </c>
      <c r="E396" t="s">
        <v>387</v>
      </c>
      <c r="F396">
        <v>-0.26211143799999997</v>
      </c>
      <c r="G396">
        <v>0.26211143799999997</v>
      </c>
      <c r="H396">
        <v>4.6759653999999998E-2</v>
      </c>
      <c r="I396">
        <v>0.38608615600000001</v>
      </c>
    </row>
    <row r="397" spans="1:9">
      <c r="A397" t="s">
        <v>21</v>
      </c>
      <c r="B397" t="str">
        <f>VLOOKUP(A397,PW!A:C,2,0)</f>
        <v>PD‑L1 expression and PD‑1 checkpoint pathway in cancer – Homo sapiens (human) KEGG</v>
      </c>
      <c r="C397" t="str">
        <f t="shared" si="6"/>
        <v>NFKB1-&gt;CD274</v>
      </c>
      <c r="D397" t="s">
        <v>272</v>
      </c>
      <c r="E397" t="s">
        <v>303</v>
      </c>
      <c r="F397">
        <v>0.79060438600000005</v>
      </c>
      <c r="G397">
        <v>0.79060438600000005</v>
      </c>
      <c r="H397">
        <v>4.6841334999999998E-2</v>
      </c>
      <c r="I397">
        <v>0.38608615600000001</v>
      </c>
    </row>
    <row r="398" spans="1:9">
      <c r="A398" t="s">
        <v>129</v>
      </c>
      <c r="B398" t="str">
        <f>VLOOKUP(A398,PW!A:C,2,0)</f>
        <v>IL‑17 signaling pathway</v>
      </c>
      <c r="C398" t="str">
        <f t="shared" si="6"/>
        <v>FOS-&gt;PTGS2</v>
      </c>
      <c r="D398" t="s">
        <v>319</v>
      </c>
      <c r="E398" t="s">
        <v>531</v>
      </c>
      <c r="F398">
        <v>-0.304290426</v>
      </c>
      <c r="G398">
        <v>0.304290426</v>
      </c>
      <c r="H398">
        <v>4.6965750000000001E-2</v>
      </c>
      <c r="I398">
        <v>0.386136541</v>
      </c>
    </row>
    <row r="399" spans="1:9">
      <c r="A399" t="s">
        <v>111</v>
      </c>
      <c r="B399" t="str">
        <f>VLOOKUP(A399,PW!A:C,2,0)</f>
        <v>Lysine degradation</v>
      </c>
      <c r="C399" t="str">
        <f t="shared" si="6"/>
        <v>CAMKMT-&gt;PLOD1</v>
      </c>
      <c r="D399" t="s">
        <v>440</v>
      </c>
      <c r="E399" t="s">
        <v>415</v>
      </c>
      <c r="F399">
        <v>0.39098117399999999</v>
      </c>
      <c r="G399">
        <v>0.39098117399999999</v>
      </c>
      <c r="H399">
        <v>4.7161486000000002E-2</v>
      </c>
      <c r="I399">
        <v>0.38671668100000001</v>
      </c>
    </row>
    <row r="400" spans="1:9">
      <c r="A400" t="s">
        <v>163</v>
      </c>
      <c r="B400" t="str">
        <f>VLOOKUP(A400,PW!A:C,2,0)</f>
        <v>Epstein‑Barr virus infection</v>
      </c>
      <c r="C400" t="str">
        <f t="shared" si="6"/>
        <v>JUN-&gt;BCL2</v>
      </c>
      <c r="D400" t="s">
        <v>367</v>
      </c>
      <c r="E400" t="s">
        <v>369</v>
      </c>
      <c r="F400">
        <v>0.38896286000000002</v>
      </c>
      <c r="G400">
        <v>0.38896286000000002</v>
      </c>
      <c r="H400">
        <v>4.7273270999999999E-2</v>
      </c>
      <c r="I400">
        <v>0.38671668100000001</v>
      </c>
    </row>
    <row r="401" spans="1:9">
      <c r="A401" t="s">
        <v>158</v>
      </c>
      <c r="B401" t="str">
        <f>VLOOKUP(A401,PW!A:C,2,0)</f>
        <v>Glycosphingolipid biosynthesis – lacto &amp; neolacto series genome.jp</v>
      </c>
      <c r="C401" t="str">
        <f t="shared" si="6"/>
        <v>GCNT2-&gt;B4GALT1</v>
      </c>
      <c r="D401" t="s">
        <v>434</v>
      </c>
      <c r="E401" t="s">
        <v>278</v>
      </c>
      <c r="F401">
        <v>-0.17399145599999999</v>
      </c>
      <c r="G401">
        <v>0.17399145599999999</v>
      </c>
      <c r="H401">
        <v>4.7470178000000002E-2</v>
      </c>
      <c r="I401">
        <v>0.38735665000000002</v>
      </c>
    </row>
    <row r="402" spans="1:9">
      <c r="A402" t="s">
        <v>31</v>
      </c>
      <c r="B402" t="str">
        <f>VLOOKUP(A402,PW!A:C,2,0)</f>
        <v>Growth hormone synthesis, secretion and action KEGG</v>
      </c>
      <c r="C402" t="str">
        <f t="shared" si="6"/>
        <v>MAPK1-&gt;IGFBP3</v>
      </c>
      <c r="D402" t="s">
        <v>337</v>
      </c>
      <c r="E402" t="s">
        <v>763</v>
      </c>
      <c r="F402">
        <v>0.78519041499999997</v>
      </c>
      <c r="G402">
        <v>0.78519041499999997</v>
      </c>
      <c r="H402">
        <v>4.7610910999999999E-2</v>
      </c>
      <c r="I402">
        <v>0.38753619700000003</v>
      </c>
    </row>
    <row r="403" spans="1:9">
      <c r="A403" t="s">
        <v>123</v>
      </c>
      <c r="B403" t="str">
        <f>VLOOKUP(A403,PW!A:C,2,0)</f>
        <v>Phosphonate and phosphinate metabolism KEGG</v>
      </c>
      <c r="C403" t="str">
        <f t="shared" si="6"/>
        <v>PCYT1A-&gt;CEPT1</v>
      </c>
      <c r="D403" t="s">
        <v>359</v>
      </c>
      <c r="E403" t="s">
        <v>295</v>
      </c>
      <c r="F403">
        <v>-0.159497521</v>
      </c>
      <c r="G403">
        <v>0.159497521</v>
      </c>
      <c r="H403">
        <v>4.7983990999999997E-2</v>
      </c>
      <c r="I403">
        <v>0.38906939099999999</v>
      </c>
    </row>
    <row r="404" spans="1:9">
      <c r="A404" t="s">
        <v>144</v>
      </c>
      <c r="B404" t="str">
        <f>VLOOKUP(A404,PW!A:C,2,0)</f>
        <v>Biosynthesis of various nucleotide sugars KEGG</v>
      </c>
      <c r="C404" t="str">
        <f t="shared" si="6"/>
        <v>NANS-&gt;GNE</v>
      </c>
      <c r="D404" t="s">
        <v>420</v>
      </c>
      <c r="E404" t="s">
        <v>746</v>
      </c>
      <c r="F404">
        <v>0.259535132</v>
      </c>
      <c r="G404">
        <v>0.259535132</v>
      </c>
      <c r="H404">
        <v>4.8322662000000002E-2</v>
      </c>
      <c r="I404">
        <v>0.38906939099999999</v>
      </c>
    </row>
    <row r="405" spans="1:9">
      <c r="A405" t="s">
        <v>163</v>
      </c>
      <c r="B405" t="str">
        <f>VLOOKUP(A405,PW!A:C,2,0)</f>
        <v>Epstein‑Barr virus infection</v>
      </c>
      <c r="C405" t="str">
        <f t="shared" si="6"/>
        <v>JUN-&gt;CD44</v>
      </c>
      <c r="D405" t="s">
        <v>367</v>
      </c>
      <c r="E405" t="s">
        <v>841</v>
      </c>
      <c r="F405">
        <v>-0.222646703</v>
      </c>
      <c r="G405">
        <v>0.222646703</v>
      </c>
      <c r="H405">
        <v>4.8384125E-2</v>
      </c>
      <c r="I405">
        <v>0.38906939099999999</v>
      </c>
    </row>
    <row r="406" spans="1:9">
      <c r="A406" t="s">
        <v>105</v>
      </c>
      <c r="B406" t="str">
        <f>VLOOKUP(A406,PW!A:C,2,0)</f>
        <v>Glycine, serine and threonine metabolism</v>
      </c>
      <c r="C406" t="str">
        <f t="shared" si="6"/>
        <v>SHMT1-&gt;GCAT</v>
      </c>
      <c r="D406" t="s">
        <v>463</v>
      </c>
      <c r="E406" t="s">
        <v>842</v>
      </c>
      <c r="F406">
        <v>-0.56088848499999999</v>
      </c>
      <c r="G406">
        <v>0.56088848499999999</v>
      </c>
      <c r="H406">
        <v>4.8416481999999997E-2</v>
      </c>
      <c r="I406">
        <v>0.38906939099999999</v>
      </c>
    </row>
    <row r="407" spans="1:9">
      <c r="A407" t="s">
        <v>18</v>
      </c>
      <c r="B407" t="str">
        <f>VLOOKUP(A407,PW!A:C,2,0)</f>
        <v>Th17 cell differentiation</v>
      </c>
      <c r="C407" t="str">
        <f t="shared" si="6"/>
        <v>STAT3-&gt;IL21</v>
      </c>
      <c r="D407" t="s">
        <v>289</v>
      </c>
      <c r="E407" t="s">
        <v>843</v>
      </c>
      <c r="F407">
        <v>-0.77390434799999996</v>
      </c>
      <c r="G407">
        <v>0.77390434799999996</v>
      </c>
      <c r="H407">
        <v>4.8514474000000002E-2</v>
      </c>
      <c r="I407">
        <v>0.38906939099999999</v>
      </c>
    </row>
    <row r="408" spans="1:9">
      <c r="A408" t="s">
        <v>120</v>
      </c>
      <c r="B408" t="str">
        <f>VLOOKUP(A408,PW!A:C,2,0)</f>
        <v>Inflammatory bowel disease – Homo sapiens (human) KEGG</v>
      </c>
      <c r="C408" t="str">
        <f t="shared" si="6"/>
        <v>STAT3-&gt;IL21</v>
      </c>
      <c r="D408" t="s">
        <v>289</v>
      </c>
      <c r="E408" t="s">
        <v>843</v>
      </c>
      <c r="F408">
        <v>-0.77390434799999996</v>
      </c>
      <c r="G408">
        <v>0.77390434799999996</v>
      </c>
      <c r="H408">
        <v>4.8514474000000002E-2</v>
      </c>
      <c r="I408">
        <v>0.38906939099999999</v>
      </c>
    </row>
    <row r="409" spans="1:9">
      <c r="A409" t="s">
        <v>104</v>
      </c>
      <c r="B409" t="str">
        <f>VLOOKUP(A409,PW!A:C,2,0)</f>
        <v>Alanine, aspartate and glutamate metabolism</v>
      </c>
      <c r="C409" t="str">
        <f t="shared" si="6"/>
        <v>CAD-&gt;ASRGL1</v>
      </c>
      <c r="D409" t="s">
        <v>325</v>
      </c>
      <c r="E409" t="s">
        <v>718</v>
      </c>
      <c r="F409">
        <v>0.42953362099999998</v>
      </c>
      <c r="G409">
        <v>0.42953362099999998</v>
      </c>
      <c r="H409">
        <v>4.8918806000000002E-2</v>
      </c>
      <c r="I409">
        <v>0.39135044800000002</v>
      </c>
    </row>
    <row r="410" spans="1:9">
      <c r="A410" t="s">
        <v>149</v>
      </c>
      <c r="B410" t="str">
        <f>VLOOKUP(A410,PW!A:C,2,0)</f>
        <v>Glycerophospholipid metabolism KEGG</v>
      </c>
      <c r="C410" t="str">
        <f t="shared" si="6"/>
        <v>PTDSS2-&gt;PLAAT3</v>
      </c>
      <c r="D410" t="s">
        <v>541</v>
      </c>
      <c r="E410" t="s">
        <v>629</v>
      </c>
      <c r="F410">
        <v>0.56251291199999998</v>
      </c>
      <c r="G410">
        <v>0.56251291199999998</v>
      </c>
      <c r="H410">
        <v>4.9687668999999997E-2</v>
      </c>
      <c r="I410">
        <v>0.396529466</v>
      </c>
    </row>
  </sheetData>
  <autoFilter ref="A1:I410" xr:uid="{7647CF0A-A377-4A53-8962-16861D3BE20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6A8C-73D1-4E70-A232-79D9E71FF0F5}">
  <dimension ref="A1:C160"/>
  <sheetViews>
    <sheetView topLeftCell="A81" workbookViewId="0">
      <selection activeCell="B81" sqref="B81"/>
    </sheetView>
  </sheetViews>
  <sheetFormatPr defaultRowHeight="14.45"/>
  <cols>
    <col min="1" max="1" width="16.7109375" bestFit="1" customWidth="1"/>
    <col min="2" max="2" width="73.28515625" bestFit="1" customWidth="1"/>
    <col min="3" max="3" width="47.5703125" style="20" customWidth="1"/>
  </cols>
  <sheetData>
    <row r="1" spans="1:3">
      <c r="A1" s="9" t="s">
        <v>246</v>
      </c>
      <c r="B1" s="9" t="s">
        <v>91</v>
      </c>
      <c r="C1" s="19" t="s">
        <v>844</v>
      </c>
    </row>
    <row r="2" spans="1:3">
      <c r="A2" t="s">
        <v>92</v>
      </c>
      <c r="B2" t="s">
        <v>845</v>
      </c>
      <c r="C2" s="20" t="s">
        <v>846</v>
      </c>
    </row>
    <row r="3" spans="1:3">
      <c r="A3" t="s">
        <v>93</v>
      </c>
      <c r="B3" t="s">
        <v>847</v>
      </c>
      <c r="C3" s="20" t="s">
        <v>848</v>
      </c>
    </row>
    <row r="4" spans="1:3">
      <c r="A4" t="s">
        <v>94</v>
      </c>
      <c r="B4" t="s">
        <v>849</v>
      </c>
      <c r="C4" s="20" t="s">
        <v>850</v>
      </c>
    </row>
    <row r="5" spans="1:3">
      <c r="A5" t="s">
        <v>95</v>
      </c>
      <c r="B5" t="s">
        <v>851</v>
      </c>
      <c r="C5" s="20" t="s">
        <v>852</v>
      </c>
    </row>
    <row r="6" spans="1:3">
      <c r="A6" t="s">
        <v>96</v>
      </c>
      <c r="B6" t="s">
        <v>853</v>
      </c>
      <c r="C6" s="20" t="s">
        <v>853</v>
      </c>
    </row>
    <row r="7" spans="1:3">
      <c r="A7" t="s">
        <v>97</v>
      </c>
      <c r="B7" t="s">
        <v>854</v>
      </c>
      <c r="C7" s="20" t="s">
        <v>854</v>
      </c>
    </row>
    <row r="8" spans="1:3">
      <c r="A8" t="s">
        <v>98</v>
      </c>
      <c r="B8" t="s">
        <v>855</v>
      </c>
      <c r="C8" s="20" t="s">
        <v>855</v>
      </c>
    </row>
    <row r="9" spans="1:3">
      <c r="A9" t="s">
        <v>99</v>
      </c>
      <c r="B9" t="s">
        <v>856</v>
      </c>
      <c r="C9" s="20" t="s">
        <v>856</v>
      </c>
    </row>
    <row r="10" spans="1:3">
      <c r="A10" t="s">
        <v>100</v>
      </c>
      <c r="B10" t="s">
        <v>857</v>
      </c>
      <c r="C10" s="20" t="s">
        <v>858</v>
      </c>
    </row>
    <row r="11" spans="1:3">
      <c r="A11" t="s">
        <v>101</v>
      </c>
      <c r="B11" t="s">
        <v>859</v>
      </c>
      <c r="C11" s="20" t="s">
        <v>859</v>
      </c>
    </row>
    <row r="12" spans="1:3">
      <c r="A12" t="s">
        <v>102</v>
      </c>
      <c r="B12" t="s">
        <v>860</v>
      </c>
      <c r="C12" s="20" t="s">
        <v>860</v>
      </c>
    </row>
    <row r="13" spans="1:3">
      <c r="A13" t="s">
        <v>104</v>
      </c>
      <c r="B13" t="s">
        <v>861</v>
      </c>
      <c r="C13" s="20" t="s">
        <v>862</v>
      </c>
    </row>
    <row r="14" spans="1:3">
      <c r="A14" t="s">
        <v>105</v>
      </c>
      <c r="B14" t="s">
        <v>863</v>
      </c>
      <c r="C14" s="20" t="s">
        <v>864</v>
      </c>
    </row>
    <row r="15" spans="1:3">
      <c r="A15" t="s">
        <v>107</v>
      </c>
      <c r="B15" t="s">
        <v>865</v>
      </c>
      <c r="C15" s="20" t="s">
        <v>866</v>
      </c>
    </row>
    <row r="16" spans="1:3">
      <c r="A16" t="s">
        <v>109</v>
      </c>
      <c r="B16" t="s">
        <v>867</v>
      </c>
      <c r="C16" s="20" t="s">
        <v>868</v>
      </c>
    </row>
    <row r="17" spans="1:3">
      <c r="A17" t="s">
        <v>111</v>
      </c>
      <c r="B17" t="s">
        <v>869</v>
      </c>
      <c r="C17" s="20" t="s">
        <v>869</v>
      </c>
    </row>
    <row r="18" spans="1:3">
      <c r="A18" t="s">
        <v>113</v>
      </c>
      <c r="B18" t="s">
        <v>870</v>
      </c>
      <c r="C18" s="20" t="s">
        <v>871</v>
      </c>
    </row>
    <row r="19" spans="1:3">
      <c r="A19" t="s">
        <v>115</v>
      </c>
      <c r="B19" t="s">
        <v>872</v>
      </c>
      <c r="C19" s="20" t="s">
        <v>872</v>
      </c>
    </row>
    <row r="20" spans="1:3">
      <c r="A20" t="s">
        <v>117</v>
      </c>
      <c r="B20" t="s">
        <v>873</v>
      </c>
      <c r="C20" s="20" t="s">
        <v>874</v>
      </c>
    </row>
    <row r="21" spans="1:3">
      <c r="A21" t="s">
        <v>119</v>
      </c>
      <c r="B21" t="s">
        <v>875</v>
      </c>
      <c r="C21" s="20" t="s">
        <v>876</v>
      </c>
    </row>
    <row r="22" spans="1:3">
      <c r="A22" t="s">
        <v>121</v>
      </c>
      <c r="B22" t="s">
        <v>877</v>
      </c>
      <c r="C22" s="20" t="s">
        <v>878</v>
      </c>
    </row>
    <row r="23" spans="1:3">
      <c r="A23" t="s">
        <v>123</v>
      </c>
      <c r="B23" t="s">
        <v>879</v>
      </c>
      <c r="C23" s="20" t="s">
        <v>880</v>
      </c>
    </row>
    <row r="24" spans="1:3">
      <c r="A24" t="s">
        <v>124</v>
      </c>
      <c r="B24" t="s">
        <v>881</v>
      </c>
      <c r="C24" s="20" t="s">
        <v>882</v>
      </c>
    </row>
    <row r="25" spans="1:3">
      <c r="A25" t="s">
        <v>126</v>
      </c>
      <c r="B25" t="s">
        <v>883</v>
      </c>
      <c r="C25" s="20" t="s">
        <v>884</v>
      </c>
    </row>
    <row r="26" spans="1:3">
      <c r="A26" t="s">
        <v>128</v>
      </c>
      <c r="B26" t="s">
        <v>885</v>
      </c>
      <c r="C26" s="20" t="s">
        <v>886</v>
      </c>
    </row>
    <row r="27" spans="1:3">
      <c r="A27" t="s">
        <v>130</v>
      </c>
      <c r="B27" t="s">
        <v>887</v>
      </c>
      <c r="C27" s="20" t="s">
        <v>888</v>
      </c>
    </row>
    <row r="28" spans="1:3">
      <c r="A28" t="s">
        <v>132</v>
      </c>
      <c r="B28" t="s">
        <v>889</v>
      </c>
      <c r="C28" s="20" t="s">
        <v>890</v>
      </c>
    </row>
    <row r="29" spans="1:3">
      <c r="A29" t="s">
        <v>134</v>
      </c>
      <c r="B29" t="s">
        <v>891</v>
      </c>
      <c r="C29" s="20" t="s">
        <v>892</v>
      </c>
    </row>
    <row r="30" spans="1:3">
      <c r="A30" t="s">
        <v>136</v>
      </c>
      <c r="B30" t="s">
        <v>893</v>
      </c>
      <c r="C30" s="20" t="s">
        <v>894</v>
      </c>
    </row>
    <row r="31" spans="1:3">
      <c r="A31" t="s">
        <v>138</v>
      </c>
      <c r="B31" t="s">
        <v>895</v>
      </c>
      <c r="C31" s="20" t="s">
        <v>896</v>
      </c>
    </row>
    <row r="32" spans="1:3">
      <c r="A32" t="s">
        <v>140</v>
      </c>
      <c r="B32" t="s">
        <v>897</v>
      </c>
      <c r="C32" s="20" t="s">
        <v>898</v>
      </c>
    </row>
    <row r="33" spans="1:3">
      <c r="A33" t="s">
        <v>142</v>
      </c>
      <c r="B33" t="s">
        <v>899</v>
      </c>
      <c r="C33" s="20" t="s">
        <v>900</v>
      </c>
    </row>
    <row r="34" spans="1:3">
      <c r="A34" t="s">
        <v>144</v>
      </c>
      <c r="B34" t="s">
        <v>901</v>
      </c>
      <c r="C34" s="20" t="s">
        <v>902</v>
      </c>
    </row>
    <row r="35" spans="1:3">
      <c r="A35" t="s">
        <v>146</v>
      </c>
      <c r="B35" t="s">
        <v>903</v>
      </c>
      <c r="C35" s="20" t="s">
        <v>904</v>
      </c>
    </row>
    <row r="36" spans="1:3">
      <c r="A36" t="s">
        <v>148</v>
      </c>
      <c r="B36" t="s">
        <v>905</v>
      </c>
      <c r="C36" s="20" t="s">
        <v>906</v>
      </c>
    </row>
    <row r="37" spans="1:3">
      <c r="A37" t="s">
        <v>149</v>
      </c>
      <c r="B37" t="s">
        <v>907</v>
      </c>
      <c r="C37" s="20" t="s">
        <v>908</v>
      </c>
    </row>
    <row r="38" spans="1:3">
      <c r="A38" t="s">
        <v>151</v>
      </c>
      <c r="B38" t="s">
        <v>909</v>
      </c>
      <c r="C38" s="20" t="s">
        <v>910</v>
      </c>
    </row>
    <row r="39" spans="1:3">
      <c r="A39" t="s">
        <v>153</v>
      </c>
      <c r="B39" t="s">
        <v>911</v>
      </c>
      <c r="C39" s="20" t="s">
        <v>912</v>
      </c>
    </row>
    <row r="40" spans="1:3">
      <c r="A40" t="s">
        <v>154</v>
      </c>
      <c r="B40" t="s">
        <v>913</v>
      </c>
      <c r="C40" s="20" t="s">
        <v>914</v>
      </c>
    </row>
    <row r="41" spans="1:3">
      <c r="A41" t="s">
        <v>156</v>
      </c>
      <c r="B41" t="s">
        <v>915</v>
      </c>
      <c r="C41" s="20" t="s">
        <v>916</v>
      </c>
    </row>
    <row r="42" spans="1:3">
      <c r="A42" t="s">
        <v>158</v>
      </c>
      <c r="B42" t="s">
        <v>917</v>
      </c>
      <c r="C42" s="20" t="s">
        <v>918</v>
      </c>
    </row>
    <row r="43" spans="1:3">
      <c r="A43" t="s">
        <v>160</v>
      </c>
      <c r="B43" t="s">
        <v>919</v>
      </c>
      <c r="C43" s="20" t="s">
        <v>918</v>
      </c>
    </row>
    <row r="44" spans="1:3">
      <c r="A44" t="s">
        <v>162</v>
      </c>
      <c r="B44" t="s">
        <v>920</v>
      </c>
      <c r="C44" s="20" t="s">
        <v>918</v>
      </c>
    </row>
    <row r="45" spans="1:3">
      <c r="A45" t="s">
        <v>164</v>
      </c>
      <c r="B45" t="s">
        <v>921</v>
      </c>
      <c r="C45" s="20" t="s">
        <v>922</v>
      </c>
    </row>
    <row r="46" spans="1:3">
      <c r="A46" t="s">
        <v>165</v>
      </c>
      <c r="B46" t="s">
        <v>923</v>
      </c>
      <c r="C46" s="20" t="s">
        <v>924</v>
      </c>
    </row>
    <row r="47" spans="1:3">
      <c r="A47" t="s">
        <v>166</v>
      </c>
      <c r="B47" t="s">
        <v>925</v>
      </c>
      <c r="C47" s="20" t="s">
        <v>926</v>
      </c>
    </row>
    <row r="48" spans="1:3">
      <c r="A48" t="s">
        <v>168</v>
      </c>
      <c r="B48" t="s">
        <v>927</v>
      </c>
      <c r="C48" s="20" t="s">
        <v>927</v>
      </c>
    </row>
    <row r="49" spans="1:3">
      <c r="A49" t="s">
        <v>170</v>
      </c>
      <c r="B49" t="s">
        <v>928</v>
      </c>
      <c r="C49" s="20" t="s">
        <v>929</v>
      </c>
    </row>
    <row r="50" spans="1:3">
      <c r="A50" t="s">
        <v>172</v>
      </c>
      <c r="B50" t="s">
        <v>930</v>
      </c>
      <c r="C50" s="20" t="s">
        <v>931</v>
      </c>
    </row>
    <row r="51" spans="1:3">
      <c r="A51" t="s">
        <v>127</v>
      </c>
      <c r="B51" t="s">
        <v>932</v>
      </c>
      <c r="C51" s="20" t="s">
        <v>933</v>
      </c>
    </row>
    <row r="52" spans="1:3">
      <c r="A52" t="s">
        <v>174</v>
      </c>
      <c r="B52" t="s">
        <v>934</v>
      </c>
      <c r="C52" s="20" t="s">
        <v>935</v>
      </c>
    </row>
    <row r="53" spans="1:3">
      <c r="A53" t="s">
        <v>175</v>
      </c>
      <c r="B53" t="s">
        <v>936</v>
      </c>
      <c r="C53" s="20" t="s">
        <v>937</v>
      </c>
    </row>
    <row r="54" spans="1:3">
      <c r="A54" t="s">
        <v>103</v>
      </c>
      <c r="B54" t="s">
        <v>938</v>
      </c>
      <c r="C54" s="20" t="s">
        <v>938</v>
      </c>
    </row>
    <row r="55" spans="1:3">
      <c r="A55" t="s">
        <v>137</v>
      </c>
      <c r="B55" t="s">
        <v>939</v>
      </c>
      <c r="C55" s="20" t="s">
        <v>939</v>
      </c>
    </row>
    <row r="56" spans="1:3">
      <c r="A56" t="s">
        <v>177</v>
      </c>
      <c r="B56" t="s">
        <v>940</v>
      </c>
      <c r="C56" s="20" t="s">
        <v>941</v>
      </c>
    </row>
    <row r="57" spans="1:3">
      <c r="A57" t="s">
        <v>178</v>
      </c>
      <c r="B57" t="s">
        <v>942</v>
      </c>
      <c r="C57" s="20" t="s">
        <v>943</v>
      </c>
    </row>
    <row r="58" spans="1:3">
      <c r="A58" t="s">
        <v>180</v>
      </c>
      <c r="B58" t="s">
        <v>944</v>
      </c>
      <c r="C58" s="20" t="s">
        <v>944</v>
      </c>
    </row>
    <row r="59" spans="1:3">
      <c r="A59" t="s">
        <v>182</v>
      </c>
      <c r="B59" t="s">
        <v>945</v>
      </c>
      <c r="C59" s="20" t="s">
        <v>946</v>
      </c>
    </row>
    <row r="60" spans="1:3">
      <c r="A60" t="s">
        <v>183</v>
      </c>
      <c r="B60" t="s">
        <v>947</v>
      </c>
      <c r="C60" s="20" t="s">
        <v>948</v>
      </c>
    </row>
    <row r="61" spans="1:3">
      <c r="A61" t="s">
        <v>145</v>
      </c>
      <c r="B61" t="s">
        <v>949</v>
      </c>
      <c r="C61" s="20" t="s">
        <v>950</v>
      </c>
    </row>
    <row r="62" spans="1:3">
      <c r="A62" t="s">
        <v>152</v>
      </c>
      <c r="B62" t="s">
        <v>951</v>
      </c>
      <c r="C62" s="20" t="s">
        <v>952</v>
      </c>
    </row>
    <row r="63" spans="1:3">
      <c r="A63" t="s">
        <v>184</v>
      </c>
      <c r="B63" t="s">
        <v>953</v>
      </c>
      <c r="C63" s="20" t="s">
        <v>954</v>
      </c>
    </row>
    <row r="64" spans="1:3">
      <c r="A64" t="s">
        <v>185</v>
      </c>
      <c r="B64" t="s">
        <v>955</v>
      </c>
      <c r="C64" s="20" t="s">
        <v>956</v>
      </c>
    </row>
    <row r="65" spans="1:3">
      <c r="A65" t="s">
        <v>173</v>
      </c>
      <c r="B65" t="s">
        <v>957</v>
      </c>
      <c r="C65" s="20" t="s">
        <v>958</v>
      </c>
    </row>
    <row r="66" spans="1:3">
      <c r="A66" t="s">
        <v>24</v>
      </c>
      <c r="B66" t="s">
        <v>75</v>
      </c>
      <c r="C66" s="20" t="s">
        <v>75</v>
      </c>
    </row>
    <row r="67" spans="1:3">
      <c r="A67" t="s">
        <v>167</v>
      </c>
      <c r="B67" t="s">
        <v>959</v>
      </c>
      <c r="C67" s="20" t="s">
        <v>960</v>
      </c>
    </row>
    <row r="68" spans="1:3">
      <c r="A68" t="s">
        <v>171</v>
      </c>
      <c r="B68" t="s">
        <v>961</v>
      </c>
      <c r="C68" s="20" t="s">
        <v>961</v>
      </c>
    </row>
    <row r="69" spans="1:3">
      <c r="A69" t="s">
        <v>181</v>
      </c>
      <c r="B69" t="s">
        <v>962</v>
      </c>
      <c r="C69" s="20" t="s">
        <v>963</v>
      </c>
    </row>
    <row r="70" spans="1:3">
      <c r="A70" t="s">
        <v>187</v>
      </c>
      <c r="B70" t="s">
        <v>964</v>
      </c>
      <c r="C70" s="20" t="s">
        <v>965</v>
      </c>
    </row>
    <row r="71" spans="1:3">
      <c r="A71" t="s">
        <v>188</v>
      </c>
      <c r="B71" t="s">
        <v>966</v>
      </c>
      <c r="C71" s="20" t="s">
        <v>967</v>
      </c>
    </row>
    <row r="72" spans="1:3">
      <c r="A72" t="s">
        <v>12</v>
      </c>
      <c r="B72" t="s">
        <v>50</v>
      </c>
      <c r="C72" s="20" t="s">
        <v>968</v>
      </c>
    </row>
    <row r="73" spans="1:3">
      <c r="A73" t="s">
        <v>189</v>
      </c>
      <c r="B73" t="s">
        <v>969</v>
      </c>
      <c r="C73" s="20" t="s">
        <v>970</v>
      </c>
    </row>
    <row r="74" spans="1:3">
      <c r="A74" t="s">
        <v>10</v>
      </c>
      <c r="B74" t="s">
        <v>52</v>
      </c>
      <c r="C74" s="20" t="s">
        <v>52</v>
      </c>
    </row>
    <row r="75" spans="1:3">
      <c r="A75" t="s">
        <v>191</v>
      </c>
      <c r="B75" t="s">
        <v>971</v>
      </c>
      <c r="C75" s="20" t="s">
        <v>972</v>
      </c>
    </row>
    <row r="76" spans="1:3">
      <c r="A76" t="s">
        <v>40</v>
      </c>
      <c r="B76" t="s">
        <v>973</v>
      </c>
      <c r="C76" s="20" t="s">
        <v>974</v>
      </c>
    </row>
    <row r="77" spans="1:3">
      <c r="A77" t="s">
        <v>135</v>
      </c>
      <c r="B77" t="s">
        <v>975</v>
      </c>
      <c r="C77" s="20" t="s">
        <v>976</v>
      </c>
    </row>
    <row r="78" spans="1:3">
      <c r="A78" t="s">
        <v>192</v>
      </c>
      <c r="B78" t="s">
        <v>977</v>
      </c>
      <c r="C78" s="20" t="s">
        <v>978</v>
      </c>
    </row>
    <row r="79" spans="1:3">
      <c r="A79" t="s">
        <v>129</v>
      </c>
      <c r="B79" t="s">
        <v>979</v>
      </c>
      <c r="C79" s="20" t="s">
        <v>980</v>
      </c>
    </row>
    <row r="80" spans="1:3">
      <c r="A80" t="s">
        <v>143</v>
      </c>
      <c r="B80" t="s">
        <v>981</v>
      </c>
      <c r="C80" s="20" t="s">
        <v>982</v>
      </c>
    </row>
    <row r="81" spans="1:3">
      <c r="A81" t="s">
        <v>18</v>
      </c>
      <c r="B81" t="s">
        <v>63</v>
      </c>
      <c r="C81" s="20" t="s">
        <v>983</v>
      </c>
    </row>
    <row r="82" spans="1:3">
      <c r="A82" t="s">
        <v>116</v>
      </c>
      <c r="B82" t="s">
        <v>984</v>
      </c>
      <c r="C82" s="20" t="s">
        <v>985</v>
      </c>
    </row>
    <row r="83" spans="1:3">
      <c r="A83" t="s">
        <v>114</v>
      </c>
      <c r="B83" t="s">
        <v>986</v>
      </c>
      <c r="C83" s="20" t="s">
        <v>987</v>
      </c>
    </row>
    <row r="84" spans="1:3">
      <c r="A84" t="s">
        <v>125</v>
      </c>
      <c r="B84" t="s">
        <v>988</v>
      </c>
      <c r="C84" s="20" t="s">
        <v>989</v>
      </c>
    </row>
    <row r="85" spans="1:3">
      <c r="A85" t="s">
        <v>150</v>
      </c>
      <c r="B85" t="s">
        <v>990</v>
      </c>
      <c r="C85" s="20" t="s">
        <v>990</v>
      </c>
    </row>
    <row r="86" spans="1:3">
      <c r="A86" t="s">
        <v>118</v>
      </c>
      <c r="B86" t="s">
        <v>991</v>
      </c>
      <c r="C86" s="20" t="s">
        <v>992</v>
      </c>
    </row>
    <row r="87" spans="1:3">
      <c r="A87" t="s">
        <v>190</v>
      </c>
      <c r="B87" t="s">
        <v>993</v>
      </c>
      <c r="C87" s="20" t="s">
        <v>994</v>
      </c>
    </row>
    <row r="88" spans="1:3">
      <c r="A88" t="s">
        <v>157</v>
      </c>
      <c r="B88" t="s">
        <v>995</v>
      </c>
      <c r="C88" s="20" t="s">
        <v>996</v>
      </c>
    </row>
    <row r="89" spans="1:3">
      <c r="A89" t="s">
        <v>179</v>
      </c>
      <c r="B89" t="s">
        <v>997</v>
      </c>
      <c r="C89" s="20" t="s">
        <v>998</v>
      </c>
    </row>
    <row r="90" spans="1:3">
      <c r="A90" t="s">
        <v>186</v>
      </c>
      <c r="B90" t="s">
        <v>999</v>
      </c>
      <c r="C90" s="20" t="s">
        <v>1000</v>
      </c>
    </row>
    <row r="91" spans="1:3">
      <c r="A91" t="s">
        <v>194</v>
      </c>
      <c r="B91" t="s">
        <v>1001</v>
      </c>
      <c r="C91" s="20" t="s">
        <v>1002</v>
      </c>
    </row>
    <row r="92" spans="1:3">
      <c r="A92" t="s">
        <v>147</v>
      </c>
      <c r="B92" t="s">
        <v>1003</v>
      </c>
      <c r="C92" s="20" t="s">
        <v>1004</v>
      </c>
    </row>
    <row r="93" spans="1:3">
      <c r="A93" t="s">
        <v>15</v>
      </c>
      <c r="B93" t="s">
        <v>1005</v>
      </c>
      <c r="C93" s="20" t="s">
        <v>1006</v>
      </c>
    </row>
    <row r="94" spans="1:3">
      <c r="A94" t="s">
        <v>31</v>
      </c>
      <c r="B94" t="s">
        <v>1007</v>
      </c>
      <c r="C94" s="20" t="s">
        <v>1008</v>
      </c>
    </row>
    <row r="95" spans="1:3">
      <c r="A95" t="s">
        <v>110</v>
      </c>
      <c r="B95" t="s">
        <v>1009</v>
      </c>
      <c r="C95" s="20" t="s">
        <v>1010</v>
      </c>
    </row>
    <row r="96" spans="1:3">
      <c r="A96" t="s">
        <v>198</v>
      </c>
      <c r="B96" t="s">
        <v>1011</v>
      </c>
      <c r="C96" s="20" t="s">
        <v>1012</v>
      </c>
    </row>
    <row r="97" spans="1:3">
      <c r="A97" t="s">
        <v>200</v>
      </c>
      <c r="B97" t="s">
        <v>1013</v>
      </c>
      <c r="C97" s="20" t="s">
        <v>1014</v>
      </c>
    </row>
    <row r="98" spans="1:3">
      <c r="A98" t="s">
        <v>112</v>
      </c>
      <c r="B98" t="s">
        <v>1015</v>
      </c>
      <c r="C98" s="20" t="s">
        <v>1016</v>
      </c>
    </row>
    <row r="99" spans="1:3">
      <c r="A99" t="s">
        <v>106</v>
      </c>
      <c r="B99" t="s">
        <v>1017</v>
      </c>
      <c r="C99" s="20" t="s">
        <v>1018</v>
      </c>
    </row>
    <row r="100" spans="1:3">
      <c r="A100" t="s">
        <v>159</v>
      </c>
      <c r="B100" t="s">
        <v>1019</v>
      </c>
      <c r="C100" s="20" t="s">
        <v>1020</v>
      </c>
    </row>
    <row r="101" spans="1:3">
      <c r="A101" t="s">
        <v>27</v>
      </c>
      <c r="B101" t="s">
        <v>1021</v>
      </c>
      <c r="C101" s="20" t="s">
        <v>1022</v>
      </c>
    </row>
    <row r="102" spans="1:3">
      <c r="A102" t="s">
        <v>202</v>
      </c>
      <c r="B102" t="s">
        <v>1023</v>
      </c>
      <c r="C102" s="20" t="s">
        <v>1023</v>
      </c>
    </row>
    <row r="103" spans="1:3">
      <c r="A103" t="s">
        <v>108</v>
      </c>
      <c r="B103" t="s">
        <v>1024</v>
      </c>
      <c r="C103" s="20" t="s">
        <v>1025</v>
      </c>
    </row>
    <row r="104" spans="1:3">
      <c r="A104" t="s">
        <v>203</v>
      </c>
      <c r="B104" t="s">
        <v>1026</v>
      </c>
      <c r="C104" s="20" t="s">
        <v>1027</v>
      </c>
    </row>
    <row r="105" spans="1:3">
      <c r="A105" t="s">
        <v>139</v>
      </c>
      <c r="B105" t="s">
        <v>1028</v>
      </c>
      <c r="C105" s="20" t="s">
        <v>1028</v>
      </c>
    </row>
    <row r="106" spans="1:3">
      <c r="A106" t="s">
        <v>36</v>
      </c>
      <c r="B106" t="s">
        <v>65</v>
      </c>
      <c r="C106" s="20" t="s">
        <v>65</v>
      </c>
    </row>
    <row r="107" spans="1:3">
      <c r="A107" t="s">
        <v>39</v>
      </c>
      <c r="B107" t="s">
        <v>77</v>
      </c>
      <c r="C107" s="20" t="s">
        <v>77</v>
      </c>
    </row>
    <row r="108" spans="1:3">
      <c r="A108" t="s">
        <v>7</v>
      </c>
      <c r="B108" t="s">
        <v>48</v>
      </c>
      <c r="C108" s="20" t="s">
        <v>1029</v>
      </c>
    </row>
    <row r="109" spans="1:3">
      <c r="A109" t="s">
        <v>193</v>
      </c>
      <c r="B109" t="s">
        <v>1030</v>
      </c>
      <c r="C109" s="20" t="s">
        <v>1030</v>
      </c>
    </row>
    <row r="110" spans="1:3">
      <c r="A110" t="s">
        <v>199</v>
      </c>
      <c r="B110" t="s">
        <v>1031</v>
      </c>
      <c r="C110" s="20" t="s">
        <v>1032</v>
      </c>
    </row>
    <row r="111" spans="1:3">
      <c r="A111" t="s">
        <v>161</v>
      </c>
      <c r="B111" t="s">
        <v>1033</v>
      </c>
      <c r="C111" s="20" t="s">
        <v>1034</v>
      </c>
    </row>
    <row r="112" spans="1:3">
      <c r="A112" t="s">
        <v>155</v>
      </c>
      <c r="B112" t="s">
        <v>1035</v>
      </c>
      <c r="C112" s="20" t="s">
        <v>1036</v>
      </c>
    </row>
    <row r="113" spans="1:3">
      <c r="A113" t="s">
        <v>163</v>
      </c>
      <c r="B113" t="s">
        <v>1037</v>
      </c>
      <c r="C113" s="20" t="s">
        <v>1038</v>
      </c>
    </row>
    <row r="114" spans="1:3">
      <c r="A114" t="s">
        <v>122</v>
      </c>
      <c r="B114" t="s">
        <v>1039</v>
      </c>
      <c r="C114" s="20" t="s">
        <v>1039</v>
      </c>
    </row>
    <row r="115" spans="1:3">
      <c r="A115" t="s">
        <v>169</v>
      </c>
      <c r="B115" t="s">
        <v>1040</v>
      </c>
      <c r="C115" s="20" t="s">
        <v>1040</v>
      </c>
    </row>
    <row r="116" spans="1:3">
      <c r="A116" t="s">
        <v>204</v>
      </c>
      <c r="B116" t="s">
        <v>1041</v>
      </c>
      <c r="C116" s="20" t="s">
        <v>1042</v>
      </c>
    </row>
    <row r="117" spans="1:3">
      <c r="A117" t="s">
        <v>176</v>
      </c>
      <c r="B117" t="s">
        <v>1043</v>
      </c>
      <c r="C117" s="20" t="s">
        <v>1043</v>
      </c>
    </row>
    <row r="118" spans="1:3">
      <c r="A118" t="s">
        <v>196</v>
      </c>
      <c r="B118" t="s">
        <v>1044</v>
      </c>
      <c r="C118" s="20" t="s">
        <v>1044</v>
      </c>
    </row>
    <row r="119" spans="1:3">
      <c r="A119" t="s">
        <v>205</v>
      </c>
      <c r="B119" t="s">
        <v>1045</v>
      </c>
      <c r="C119" s="20" t="s">
        <v>1045</v>
      </c>
    </row>
    <row r="120" spans="1:3">
      <c r="A120" t="s">
        <v>206</v>
      </c>
      <c r="B120" t="s">
        <v>1046</v>
      </c>
      <c r="C120" s="20" t="s">
        <v>1046</v>
      </c>
    </row>
    <row r="121" spans="1:3">
      <c r="A121" t="s">
        <v>141</v>
      </c>
      <c r="B121" t="s">
        <v>1047</v>
      </c>
      <c r="C121" s="20" t="s">
        <v>1047</v>
      </c>
    </row>
    <row r="122" spans="1:3">
      <c r="A122" t="s">
        <v>207</v>
      </c>
      <c r="B122" t="s">
        <v>1048</v>
      </c>
      <c r="C122" s="20" t="s">
        <v>1049</v>
      </c>
    </row>
    <row r="123" spans="1:3">
      <c r="A123" t="s">
        <v>19</v>
      </c>
      <c r="B123" t="s">
        <v>1050</v>
      </c>
      <c r="C123" s="20" t="s">
        <v>1051</v>
      </c>
    </row>
    <row r="124" spans="1:3">
      <c r="A124" t="s">
        <v>208</v>
      </c>
      <c r="B124" t="s">
        <v>1052</v>
      </c>
      <c r="C124" s="20" t="s">
        <v>1053</v>
      </c>
    </row>
    <row r="125" spans="1:3">
      <c r="A125" t="s">
        <v>195</v>
      </c>
      <c r="B125" t="s">
        <v>1054</v>
      </c>
      <c r="C125" s="20" t="s">
        <v>1055</v>
      </c>
    </row>
    <row r="126" spans="1:3">
      <c r="A126" t="s">
        <v>209</v>
      </c>
      <c r="B126" t="s">
        <v>1056</v>
      </c>
      <c r="C126" s="20" t="s">
        <v>1057</v>
      </c>
    </row>
    <row r="127" spans="1:3">
      <c r="A127" t="s">
        <v>197</v>
      </c>
      <c r="B127" t="s">
        <v>1058</v>
      </c>
      <c r="C127" s="20" t="s">
        <v>1059</v>
      </c>
    </row>
    <row r="128" spans="1:3">
      <c r="A128" t="s">
        <v>201</v>
      </c>
      <c r="B128" t="s">
        <v>1060</v>
      </c>
      <c r="C128" s="20" t="s">
        <v>1061</v>
      </c>
    </row>
    <row r="129" spans="1:3">
      <c r="A129" t="s">
        <v>21</v>
      </c>
      <c r="B129" t="s">
        <v>1062</v>
      </c>
      <c r="C129" s="20" t="s">
        <v>1063</v>
      </c>
    </row>
    <row r="130" spans="1:3">
      <c r="A130" t="s">
        <v>120</v>
      </c>
      <c r="B130" t="s">
        <v>1064</v>
      </c>
      <c r="C130" s="20" t="s">
        <v>1065</v>
      </c>
    </row>
    <row r="131" spans="1:3">
      <c r="A131" t="s">
        <v>133</v>
      </c>
      <c r="B131" t="s">
        <v>1066</v>
      </c>
      <c r="C131" s="20" t="s">
        <v>1067</v>
      </c>
    </row>
    <row r="132" spans="1:3">
      <c r="A132" t="s">
        <v>131</v>
      </c>
      <c r="B132" t="s">
        <v>1068</v>
      </c>
      <c r="C132" s="20" t="s">
        <v>1069</v>
      </c>
    </row>
    <row r="133" spans="1:3">
      <c r="A133" t="s">
        <v>41</v>
      </c>
      <c r="B133" t="s">
        <v>1070</v>
      </c>
      <c r="C133" s="20" t="s">
        <v>1071</v>
      </c>
    </row>
    <row r="134" spans="1:3">
      <c r="A134" t="s">
        <v>227</v>
      </c>
      <c r="B134" t="s">
        <v>1072</v>
      </c>
      <c r="C134" s="20" t="s">
        <v>1073</v>
      </c>
    </row>
    <row r="135" spans="1:3">
      <c r="A135" t="s">
        <v>234</v>
      </c>
      <c r="B135" t="s">
        <v>1074</v>
      </c>
      <c r="C135" s="20" t="s">
        <v>1075</v>
      </c>
    </row>
    <row r="136" spans="1:3">
      <c r="A136" t="s">
        <v>238</v>
      </c>
      <c r="B136" t="s">
        <v>1076</v>
      </c>
      <c r="C136" s="20" t="s">
        <v>1077</v>
      </c>
    </row>
    <row r="137" spans="1:3">
      <c r="A137" t="s">
        <v>243</v>
      </c>
      <c r="B137" t="s">
        <v>1078</v>
      </c>
      <c r="C137" s="20" t="s">
        <v>1078</v>
      </c>
    </row>
    <row r="138" spans="1:3">
      <c r="A138" t="s">
        <v>230</v>
      </c>
      <c r="B138" t="s">
        <v>1079</v>
      </c>
      <c r="C138" s="20" t="s">
        <v>1079</v>
      </c>
    </row>
    <row r="139" spans="1:3">
      <c r="A139" t="s">
        <v>236</v>
      </c>
      <c r="B139" t="s">
        <v>1080</v>
      </c>
      <c r="C139" s="20" t="s">
        <v>1081</v>
      </c>
    </row>
    <row r="140" spans="1:3">
      <c r="A140" t="s">
        <v>37</v>
      </c>
      <c r="B140" t="s">
        <v>69</v>
      </c>
      <c r="C140" s="20" t="s">
        <v>1082</v>
      </c>
    </row>
    <row r="141" spans="1:3">
      <c r="A141" t="s">
        <v>38</v>
      </c>
      <c r="B141" t="s">
        <v>73</v>
      </c>
      <c r="C141" s="20" t="s">
        <v>73</v>
      </c>
    </row>
    <row r="142" spans="1:3">
      <c r="A142" t="s">
        <v>240</v>
      </c>
      <c r="B142" t="s">
        <v>1083</v>
      </c>
      <c r="C142" s="20" t="s">
        <v>1084</v>
      </c>
    </row>
    <row r="143" spans="1:3">
      <c r="A143" t="s">
        <v>225</v>
      </c>
      <c r="B143" t="s">
        <v>1085</v>
      </c>
      <c r="C143" s="20" t="s">
        <v>1086</v>
      </c>
    </row>
    <row r="144" spans="1:3">
      <c r="A144" t="s">
        <v>224</v>
      </c>
      <c r="B144" t="s">
        <v>1087</v>
      </c>
      <c r="C144" s="20" t="s">
        <v>1088</v>
      </c>
    </row>
    <row r="145" spans="1:3">
      <c r="A145" t="s">
        <v>242</v>
      </c>
      <c r="B145" t="s">
        <v>962</v>
      </c>
      <c r="C145" s="20" t="s">
        <v>963</v>
      </c>
    </row>
    <row r="146" spans="1:3">
      <c r="A146" t="s">
        <v>34</v>
      </c>
      <c r="B146" t="s">
        <v>1089</v>
      </c>
      <c r="C146" s="20" t="s">
        <v>1090</v>
      </c>
    </row>
    <row r="147" spans="1:3">
      <c r="A147" t="s">
        <v>35</v>
      </c>
      <c r="B147" t="s">
        <v>1091</v>
      </c>
      <c r="C147" s="20" t="s">
        <v>1092</v>
      </c>
    </row>
    <row r="148" spans="1:3">
      <c r="A148" t="s">
        <v>228</v>
      </c>
      <c r="B148" t="s">
        <v>1093</v>
      </c>
      <c r="C148" s="20" t="s">
        <v>1093</v>
      </c>
    </row>
    <row r="149" spans="1:3">
      <c r="A149" t="s">
        <v>235</v>
      </c>
      <c r="B149" t="s">
        <v>1094</v>
      </c>
      <c r="C149" s="20" t="s">
        <v>1095</v>
      </c>
    </row>
    <row r="150" spans="1:3">
      <c r="A150" t="s">
        <v>245</v>
      </c>
      <c r="B150" t="s">
        <v>1096</v>
      </c>
      <c r="C150" s="20" t="s">
        <v>1097</v>
      </c>
    </row>
    <row r="151" spans="1:3">
      <c r="A151" t="s">
        <v>226</v>
      </c>
      <c r="B151" t="s">
        <v>1098</v>
      </c>
      <c r="C151" s="20" t="s">
        <v>1099</v>
      </c>
    </row>
    <row r="152" spans="1:3">
      <c r="A152" t="s">
        <v>244</v>
      </c>
      <c r="B152" t="s">
        <v>1100</v>
      </c>
      <c r="C152" s="20" t="s">
        <v>1101</v>
      </c>
    </row>
    <row r="153" spans="1:3">
      <c r="A153" t="s">
        <v>231</v>
      </c>
      <c r="B153" t="s">
        <v>1102</v>
      </c>
      <c r="C153" s="20" t="s">
        <v>1103</v>
      </c>
    </row>
    <row r="154" spans="1:3">
      <c r="A154" t="s">
        <v>232</v>
      </c>
      <c r="B154" t="s">
        <v>1104</v>
      </c>
      <c r="C154" s="20" t="s">
        <v>1104</v>
      </c>
    </row>
    <row r="155" spans="1:3">
      <c r="A155" t="s">
        <v>233</v>
      </c>
      <c r="B155" t="s">
        <v>1105</v>
      </c>
      <c r="C155" s="20" t="s">
        <v>1106</v>
      </c>
    </row>
    <row r="156" spans="1:3">
      <c r="A156" t="s">
        <v>223</v>
      </c>
      <c r="B156" t="s">
        <v>1107</v>
      </c>
      <c r="C156" s="20" t="s">
        <v>1107</v>
      </c>
    </row>
    <row r="157" spans="1:3">
      <c r="A157" t="s">
        <v>241</v>
      </c>
      <c r="B157" t="s">
        <v>1108</v>
      </c>
      <c r="C157" s="20" t="s">
        <v>1108</v>
      </c>
    </row>
    <row r="158" spans="1:3">
      <c r="A158" t="s">
        <v>229</v>
      </c>
      <c r="B158" t="s">
        <v>1109</v>
      </c>
      <c r="C158" s="20" t="s">
        <v>1110</v>
      </c>
    </row>
    <row r="159" spans="1:3">
      <c r="A159" t="s">
        <v>237</v>
      </c>
      <c r="B159" t="s">
        <v>1111</v>
      </c>
      <c r="C159" s="20" t="s">
        <v>1111</v>
      </c>
    </row>
    <row r="160" spans="1:3">
      <c r="A160" t="s">
        <v>239</v>
      </c>
      <c r="B160" t="s">
        <v>1112</v>
      </c>
      <c r="C160" s="20" t="s">
        <v>1112</v>
      </c>
    </row>
  </sheetData>
  <autoFilter ref="A1:B160" xr:uid="{88726A8C-73D1-4E70-A232-79D9E71FF0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Pinero, Sindy Licette - pinsy007</cp:lastModifiedBy>
  <cp:revision/>
  <dcterms:created xsi:type="dcterms:W3CDTF">2025-04-30T06:13:45Z</dcterms:created>
  <dcterms:modified xsi:type="dcterms:W3CDTF">2025-10-22T22:02:16Z</dcterms:modified>
  <cp:category/>
  <cp:contentStatus/>
</cp:coreProperties>
</file>